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Study" sheetId="1" r:id="rId4"/>
    <sheet state="hidden" name="Questions" sheetId="2" r:id="rId5"/>
    <sheet state="visible" name="Dashboard" sheetId="3" r:id="rId6"/>
    <sheet state="visible" name="Monthly Cashflow" sheetId="4" r:id="rId7"/>
    <sheet state="visible" name="Yearly Cashflow" sheetId="5" r:id="rId8"/>
    <sheet state="visible" name="Amortization" sheetId="6" r:id="rId9"/>
  </sheets>
  <definedNames/>
  <calcPr/>
  <extLst>
    <ext uri="GoogleSheetsCustomDataVersion2">
      <go:sheetsCustomData xmlns:go="http://customooxmlschemas.google.com/" r:id="rId10" roundtripDataChecksum="rKgKsTyBqPNhMw9oNh+DvE7cHpUwobMz4gTu21KO18c="/>
    </ext>
  </extLst>
</workbook>
</file>

<file path=xl/sharedStrings.xml><?xml version="1.0" encoding="utf-8"?>
<sst xmlns="http://schemas.openxmlformats.org/spreadsheetml/2006/main" count="211" uniqueCount="162">
  <si>
    <t>Ridge Business Center</t>
  </si>
  <si>
    <t xml:space="preserve">Ridge Business Center is a warehouse/office property in Charlotte. The property includes a well-maintained building totalling 50,000 sq ft in leasable area.  </t>
  </si>
  <si>
    <t xml:space="preserve">The property has been offered for sale by the current owner at asking price of $5 Million. As a Financial Analyst of XYZ Investors, you are expected to identify if the property will </t>
  </si>
  <si>
    <t xml:space="preserve">be a good acquisition for the company. An investment must generate a minimum of 15% IRR for XYZ Investors. </t>
  </si>
  <si>
    <r>
      <t xml:space="preserve">Please build a financial model using the </t>
    </r>
    <r>
      <rPr>
        <rFont val="Arial"/>
        <b/>
        <color rgb="FFFF0000"/>
      </rPr>
      <t>assumptions</t>
    </r>
    <r>
      <rPr>
        <rFont val="Arial"/>
        <color theme="1"/>
      </rPr>
      <t xml:space="preserve"> below to provide an answer to the Management. Required sheets have been provided.</t>
    </r>
  </si>
  <si>
    <t>Investment Assumptions</t>
  </si>
  <si>
    <t>Acquisition Date</t>
  </si>
  <si>
    <t>Holding Period</t>
  </si>
  <si>
    <t>5 years</t>
  </si>
  <si>
    <t>* time for which the property is owned</t>
  </si>
  <si>
    <t>Sale Date</t>
  </si>
  <si>
    <t>last day of 60th month</t>
  </si>
  <si>
    <t>Terminal Cap Rate</t>
  </si>
  <si>
    <t>* This rate is used to determine Sale Price by the following formula: Sale Price= 5th Year NOI/Terminal Cap Rate</t>
  </si>
  <si>
    <t>Cost of Sale</t>
  </si>
  <si>
    <t>* 2% of Sale Earnings go to broker/lawyer</t>
  </si>
  <si>
    <t>Loan Assumptions</t>
  </si>
  <si>
    <t>Loan Start Date</t>
  </si>
  <si>
    <t>Term of Loan</t>
  </si>
  <si>
    <t>LTV</t>
  </si>
  <si>
    <t>* of Price</t>
  </si>
  <si>
    <t>Interest Rate</t>
  </si>
  <si>
    <t>Loan Fees</t>
  </si>
  <si>
    <t>Amortization Period</t>
  </si>
  <si>
    <t>25 years</t>
  </si>
  <si>
    <t>* Calculate monthly loan payments, you will need an amortization schedule</t>
  </si>
  <si>
    <t>Rent Assumptions</t>
  </si>
  <si>
    <t>1) Assume rents increase every year on first day of the calendar year</t>
  </si>
  <si>
    <t>2) Rents shown are Annual rents on a per square feet basis. Convert them to monthly rents and actual $ as and when required.</t>
  </si>
  <si>
    <t>3) NNN leases are triple net leases, tenant has to pay their proportionate share of CAM, taxes and insurance over and above the rent</t>
  </si>
  <si>
    <t>4) Consider Suite 1006 as vacant for the entire duration of 5 years</t>
  </si>
  <si>
    <t>Rent Roll ( As of 31 July, 2020)</t>
  </si>
  <si>
    <t>Suite</t>
  </si>
  <si>
    <t>Leased Area</t>
  </si>
  <si>
    <t>Status</t>
  </si>
  <si>
    <t>Lease Start Date</t>
  </si>
  <si>
    <t>Lease End Date</t>
  </si>
  <si>
    <t>Annual Rent PSF</t>
  </si>
  <si>
    <t>Rent Increase Date</t>
  </si>
  <si>
    <t>Rent Increase</t>
  </si>
  <si>
    <t>Lease Type</t>
  </si>
  <si>
    <t>(sq. ft)</t>
  </si>
  <si>
    <t>(mm/dd/yy)</t>
  </si>
  <si>
    <t>(as of 31 July, 20)</t>
  </si>
  <si>
    <t>Annual (%)</t>
  </si>
  <si>
    <t>Occupied</t>
  </si>
  <si>
    <t>NNN</t>
  </si>
  <si>
    <t>Vacant</t>
  </si>
  <si>
    <t>Total</t>
  </si>
  <si>
    <t>Expense Assumptions</t>
  </si>
  <si>
    <t>1) All expenses are paid by landlord</t>
  </si>
  <si>
    <t>2) All expenses grow 2% annually</t>
  </si>
  <si>
    <t>Expense Type</t>
  </si>
  <si>
    <t>Annual Expense ($)</t>
  </si>
  <si>
    <t xml:space="preserve">CAM </t>
  </si>
  <si>
    <t>Taxes</t>
  </si>
  <si>
    <t>Insurance</t>
  </si>
  <si>
    <t>Utilities</t>
  </si>
  <si>
    <t>Repairs</t>
  </si>
  <si>
    <t>Capital Expenditure</t>
  </si>
  <si>
    <t>Year</t>
  </si>
  <si>
    <t>Annual Amount</t>
  </si>
  <si>
    <t>($ psf)</t>
  </si>
  <si>
    <t>Test Questions</t>
  </si>
  <si>
    <t>Test Taker First Name:</t>
  </si>
  <si>
    <t>Tushar</t>
  </si>
  <si>
    <t>Test Taker Last Name:</t>
  </si>
  <si>
    <t xml:space="preserve">Jadhav </t>
  </si>
  <si>
    <t>Test Taker Email:</t>
  </si>
  <si>
    <t>tusharr1807@gmail.com</t>
  </si>
  <si>
    <t>Test Taker Phone Number:</t>
  </si>
  <si>
    <t>Instructions:</t>
  </si>
  <si>
    <t>1. Answer all the questions below</t>
  </si>
  <si>
    <t>2. Once you finish make a simple DCF model and debt amortization schedule with the assumptions provided</t>
  </si>
  <si>
    <t xml:space="preserve">Qs 1. </t>
  </si>
  <si>
    <t>Please refer to the excel sheet for the case study – Ridge Business Center. Use functions of Excel wherever necessary, no macros should be used for the case study. Calculate Levered IRR on the investment using the data provided.</t>
  </si>
  <si>
    <t>Answer:</t>
  </si>
  <si>
    <t xml:space="preserve">Qs 2. </t>
  </si>
  <si>
    <t>Investor A &amp; B both invested $100,000 in a private investment and were promised 10% IRR.</t>
  </si>
  <si>
    <t>- A received $15,000 in Year 1 and $5000 in Year 2</t>
  </si>
  <si>
    <t>- B received $10,000 in Year 1 and $10,000 in Year 2</t>
  </si>
  <si>
    <t>Both of them exited the investment at the end of 2nd year. Even though both got 10% IRR on their investments, what could be the possible reason for B’s unhappiness?</t>
  </si>
  <si>
    <t>Here, A has received more money back in year 1 as compared to B. A will have a better chance of re investing the received money as compared to B who has got less than A. A has better liquidity,less risk and can re invest a higher sum earlier.on the other hand, B has high risk due to delayed CF and A receiving more cash early.</t>
  </si>
  <si>
    <t xml:space="preserve">Qs 3. </t>
  </si>
  <si>
    <t>Bond yields are inversely related to Interest Rates. What is the explanation for this relationship?</t>
  </si>
  <si>
    <t>Bonds pay a fixed coupon whereas market rates keep changing over time. As bond coupons are fixed , if the market rate rises the bond value will fall behind as compared to the market rate. Therefore the price of existing bonds must fall so that the yield matches the high rate and vice versa.</t>
  </si>
  <si>
    <t>Qs 4.</t>
  </si>
  <si>
    <t>What is DSCR? Why is it important to lenders?</t>
  </si>
  <si>
    <t>DSCR is Debt Service Coverage Ratio which tells whether a project is earning enough to meet its loan obligations / pay them off. A healthy business will be in a comfortable position to meet its obligations as compared to a company generating less earnings/cash. For lenders it is important as it shows the risk in the company that they are going to lend the money to. If DSCR &gt;1 , the company generates enough money to pay off the lenders, it also helps lenders to decide</t>
  </si>
  <si>
    <t>how much money can they lend and at what rate.</t>
  </si>
  <si>
    <t xml:space="preserve">Qs 5. </t>
  </si>
  <si>
    <t>Our client is a real estate private equity company that focuses on multifamily acquisitions. A property we are looking at has a net operating income (NOI) of $567,678. The asking price is $10,650,567.</t>
  </si>
  <si>
    <t>What is the cap rate?</t>
  </si>
  <si>
    <t>Cap rate is the ratio of a property's net operating income to its purchase price. It tells the return the property generates from operations, it measures the income return on a real estate asset. In the given example the cap rate will be 5.33%…which means if purchased the property will earn 5.34% per year before financing</t>
  </si>
  <si>
    <t>Qs 6.</t>
  </si>
  <si>
    <t>Describe what a promote structure is (also known as a waterfall) for sponsors and investors in real estate?</t>
  </si>
  <si>
    <t>A promote structure is a profit sharing system where investors get their capital and preferred return first, and only after meeting those hurdles the GP receives an enhanced share of profits.
It rewards the sponsor with a higher carried interest only if the project outperforms, aligning both parties’ incentives.</t>
  </si>
  <si>
    <t>You must calculate the sections mentioned below on this page, you can add assumptions or other information you deem relevant to this dashboard page</t>
  </si>
  <si>
    <t>Purchase Price</t>
  </si>
  <si>
    <t xml:space="preserve">Net Sale Price </t>
  </si>
  <si>
    <t>Net Cash Flow Before Debt (yearly)</t>
  </si>
  <si>
    <t>Net Cash Flow After Debt (yearly)</t>
  </si>
  <si>
    <t>Sources and Uses of Cash Flow</t>
  </si>
  <si>
    <t xml:space="preserve">Returns &amp; Yields </t>
  </si>
  <si>
    <t>Sources</t>
  </si>
  <si>
    <t>%</t>
  </si>
  <si>
    <t>Equity Multiple</t>
  </si>
  <si>
    <t>Debt</t>
  </si>
  <si>
    <t>Levered IRR</t>
  </si>
  <si>
    <t>Equity</t>
  </si>
  <si>
    <t>Levered Profit</t>
  </si>
  <si>
    <t>Return on Equity</t>
  </si>
  <si>
    <t>Uses</t>
  </si>
  <si>
    <t>Acquisition</t>
  </si>
  <si>
    <t>Loan Fee</t>
  </si>
  <si>
    <t>Year 0</t>
  </si>
  <si>
    <t>Year 1</t>
  </si>
  <si>
    <t>Year 2</t>
  </si>
  <si>
    <t>Year 3</t>
  </si>
  <si>
    <t xml:space="preserve"> Year 4</t>
  </si>
  <si>
    <t>Year 5</t>
  </si>
  <si>
    <t>Analysis  Date</t>
  </si>
  <si>
    <t>Sections required</t>
  </si>
  <si>
    <t>INCOME</t>
  </si>
  <si>
    <t>Tenant 1</t>
  </si>
  <si>
    <t>Area</t>
  </si>
  <si>
    <t>Annual PSF</t>
  </si>
  <si>
    <t>Monthly Rent</t>
  </si>
  <si>
    <t>Tenant 2</t>
  </si>
  <si>
    <t>Tenant 3</t>
  </si>
  <si>
    <t>Tenant 4</t>
  </si>
  <si>
    <t>Tenant 5</t>
  </si>
  <si>
    <t>Tenant 6</t>
  </si>
  <si>
    <t>Total Rent</t>
  </si>
  <si>
    <t>Other Incone</t>
  </si>
  <si>
    <t>Vacancy</t>
  </si>
  <si>
    <t>Effective Income</t>
  </si>
  <si>
    <t xml:space="preserve">Total Income </t>
  </si>
  <si>
    <t>EXPENSES</t>
  </si>
  <si>
    <t>Total Expenses</t>
  </si>
  <si>
    <t>NOI</t>
  </si>
  <si>
    <t>Cast Flow Before Debt</t>
  </si>
  <si>
    <t>Interest</t>
  </si>
  <si>
    <t>Principal</t>
  </si>
  <si>
    <t>Debt Service</t>
  </si>
  <si>
    <t>Cash Flow After Debt</t>
  </si>
  <si>
    <t xml:space="preserve"> </t>
  </si>
  <si>
    <t>Loan proceeds</t>
  </si>
  <si>
    <t>Loan fee (1%)</t>
  </si>
  <si>
    <t>* Summarize the monthly Cash flow Annually here</t>
  </si>
  <si>
    <t>Year 0 equity</t>
  </si>
  <si>
    <t>NOI (Year 5)</t>
  </si>
  <si>
    <t xml:space="preserve">Terminal Sale Price </t>
  </si>
  <si>
    <t>Selling Costs 2%</t>
  </si>
  <si>
    <t>Net Sale Proceeds</t>
  </si>
  <si>
    <t>Loan Payoff</t>
  </si>
  <si>
    <t>Final year 5 Cash Flow</t>
  </si>
  <si>
    <t>Months</t>
  </si>
  <si>
    <t xml:space="preserve">Opening Balance </t>
  </si>
  <si>
    <t>Monthly Payment</t>
  </si>
  <si>
    <t>Closing Balance</t>
  </si>
  <si>
    <t>Amortization of Loan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</si>
</sst>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mm/dd/yy"/>
    <numFmt numFmtId="166" formatCode="&quot;$&quot;#,##0.00_);[Red]\(&quot;$&quot;#,##0.00\)"/>
    <numFmt numFmtId="167" formatCode="&quot;$&quot;#,##0_);[Red]\(&quot;$&quot;#,##0\)"/>
    <numFmt numFmtId="168" formatCode="&quot;$&quot;#,##0.00"/>
    <numFmt numFmtId="169" formatCode="&quot;Month&quot;\ 0"/>
    <numFmt numFmtId="170" formatCode="&quot;Year&quot;\ 0"/>
  </numFmts>
  <fonts count="16">
    <font>
      <sz val="11.0"/>
      <color rgb="FF000000"/>
      <name val="Arial"/>
      <scheme val="minor"/>
    </font>
    <font>
      <b/>
      <sz val="15.0"/>
      <color theme="1"/>
      <name val="Calibri"/>
    </font>
    <font>
      <color theme="1"/>
      <name val="Arial"/>
      <scheme val="minor"/>
    </font>
    <font>
      <b/>
      <sz val="11.0"/>
      <color theme="1"/>
      <name val="Calibri"/>
    </font>
    <font>
      <sz val="11.0"/>
      <color theme="1"/>
      <name val="Calibri"/>
    </font>
    <font>
      <b/>
      <sz val="11.0"/>
      <color rgb="FF2E75B5"/>
      <name val="Calibri"/>
    </font>
    <font>
      <sz val="10.0"/>
      <color theme="1"/>
      <name val="Calibri"/>
    </font>
    <font>
      <b/>
      <sz val="10.0"/>
      <color rgb="FF000000"/>
      <name val="Arial"/>
    </font>
    <font>
      <sz val="10.0"/>
      <color rgb="FF000000"/>
      <name val="Arial"/>
    </font>
    <font>
      <b/>
      <sz val="12.0"/>
      <color theme="1"/>
      <name val="Calibri"/>
    </font>
    <font>
      <b/>
      <sz val="10.0"/>
      <color rgb="FFFFFFFF"/>
      <name val="Calibri"/>
    </font>
    <font>
      <b/>
      <i/>
      <sz val="10.0"/>
      <color theme="1"/>
      <name val="Calibri"/>
    </font>
    <font>
      <sz val="10.0"/>
      <color theme="1"/>
      <name val="Cambria"/>
    </font>
    <font>
      <b/>
      <sz val="10.0"/>
      <color theme="1"/>
      <name val="Calibri"/>
    </font>
    <font>
      <b/>
      <sz val="10.0"/>
      <color theme="1"/>
      <name val="Cambria"/>
    </font>
    <font>
      <b/>
      <color theme="1"/>
      <name val="Arial"/>
      <scheme val="minor"/>
    </font>
  </fonts>
  <fills count="10">
    <fill>
      <patternFill patternType="none"/>
    </fill>
    <fill>
      <patternFill patternType="lightGray"/>
    </fill>
    <fill>
      <patternFill patternType="solid">
        <fgColor rgb="FF2E75B5"/>
        <bgColor rgb="FF2E75B5"/>
      </patternFill>
    </fill>
    <fill>
      <patternFill patternType="solid">
        <fgColor rgb="FFB4C6E7"/>
        <bgColor rgb="FFB4C6E7"/>
      </patternFill>
    </fill>
    <fill>
      <patternFill patternType="solid">
        <fgColor rgb="FFFFFF00"/>
        <bgColor rgb="FFFFFF00"/>
      </patternFill>
    </fill>
    <fill>
      <patternFill patternType="solid">
        <fgColor rgb="FF0070C0"/>
        <bgColor rgb="FF0070C0"/>
      </patternFill>
    </fill>
    <fill>
      <patternFill patternType="solid">
        <fgColor rgb="FFADB9CA"/>
        <bgColor rgb="FFADB9CA"/>
      </patternFill>
    </fill>
    <fill>
      <patternFill patternType="solid">
        <fgColor rgb="FFEFEFEF"/>
        <bgColor rgb="FFEFEFEF"/>
      </patternFill>
    </fill>
    <fill>
      <patternFill patternType="solid">
        <fgColor rgb="FFA4C2F4"/>
        <bgColor rgb="FFA4C2F4"/>
      </patternFill>
    </fill>
    <fill>
      <patternFill patternType="solid">
        <fgColor rgb="FF9FC5E8"/>
        <bgColor rgb="FF9FC5E8"/>
      </patternFill>
    </fill>
  </fills>
  <borders count="30">
    <border/>
    <border>
      <left/>
      <right/>
      <top/>
      <bottom/>
    </border>
    <border>
      <left style="thin">
        <color rgb="FF000000"/>
      </left>
      <right style="thin">
        <color rgb="FF000000"/>
      </right>
      <top style="thin">
        <color rgb="FF000000"/>
      </top>
      <bottom style="thin">
        <color rgb="FF000000"/>
      </bottom>
    </border>
    <border>
      <left style="thin">
        <color rgb="FF000000"/>
      </left>
    </border>
    <border>
      <top style="thin">
        <color rgb="FF000000"/>
      </top>
      <bottom style="thin">
        <color rgb="FF000000"/>
      </bottom>
    </border>
    <border>
      <left style="thin">
        <color rgb="FF000000"/>
      </left>
      <top style="thin">
        <color rgb="FF000000"/>
      </top>
    </border>
    <border>
      <top style="thin">
        <color rgb="FF000000"/>
      </top>
    </border>
    <border>
      <left/>
      <right style="thin">
        <color rgb="FF000000"/>
      </right>
      <top style="thin">
        <color rgb="FF000000"/>
      </top>
      <bottom/>
    </border>
    <border>
      <left/>
      <right style="thin">
        <color rgb="FF000000"/>
      </right>
      <top/>
      <bottom/>
    </border>
    <border>
      <left style="thin">
        <color rgb="FF000000"/>
      </left>
      <bottom style="thin">
        <color rgb="FF000000"/>
      </bottom>
    </border>
    <border>
      <bottom style="thin">
        <color rgb="FF000000"/>
      </bottom>
    </border>
    <border>
      <left/>
      <right style="thin">
        <color rgb="FF000000"/>
      </right>
      <top/>
      <bottom style="thin">
        <color rgb="FF000000"/>
      </bottom>
    </border>
    <border>
      <left style="medium">
        <color rgb="FFCCCCCC"/>
      </left>
      <right style="medium">
        <color rgb="FFCCCCCC"/>
      </right>
      <top style="medium">
        <color rgb="FFCCCCCC"/>
      </top>
      <bottom style="medium">
        <color rgb="FFCCCCCC"/>
      </bottom>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medium">
        <color rgb="FF000000"/>
      </bottom>
    </border>
    <border>
      <left style="thin">
        <color rgb="FF000000"/>
      </left>
      <right style="thin">
        <color rgb="FF000000"/>
      </right>
    </border>
    <border>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1" fillId="2" fontId="3" numFmtId="0" xfId="0" applyBorder="1" applyFill="1" applyFont="1"/>
    <xf borderId="1" fillId="2" fontId="4" numFmtId="0" xfId="0" applyBorder="1" applyFont="1"/>
    <xf borderId="0" fillId="0" fontId="3" numFmtId="0" xfId="0" applyFont="1"/>
    <xf borderId="0" fillId="0" fontId="4" numFmtId="0" xfId="0" applyFont="1"/>
    <xf borderId="2" fillId="0" fontId="4" numFmtId="0" xfId="0" applyBorder="1" applyFont="1"/>
    <xf borderId="2" fillId="0" fontId="4" numFmtId="15" xfId="0" applyBorder="1" applyFont="1" applyNumberFormat="1"/>
    <xf borderId="3" fillId="0" fontId="4" numFmtId="0" xfId="0" applyBorder="1" applyFont="1"/>
    <xf borderId="2" fillId="0" fontId="4" numFmtId="0" xfId="0" applyAlignment="1" applyBorder="1" applyFont="1">
      <alignment horizontal="right"/>
    </xf>
    <xf borderId="2" fillId="0" fontId="4" numFmtId="164" xfId="0" applyBorder="1" applyFont="1" applyNumberFormat="1"/>
    <xf borderId="2" fillId="0" fontId="4" numFmtId="9" xfId="0" applyBorder="1" applyFont="1" applyNumberFormat="1"/>
    <xf borderId="1" fillId="3" fontId="3" numFmtId="0" xfId="0" applyAlignment="1" applyBorder="1" applyFill="1" applyFont="1">
      <alignment horizontal="center"/>
    </xf>
    <xf borderId="1" fillId="3" fontId="3" numFmtId="0" xfId="0" applyBorder="1" applyFont="1"/>
    <xf borderId="0" fillId="0" fontId="4" numFmtId="0" xfId="0" applyAlignment="1" applyFont="1">
      <alignment horizontal="center"/>
    </xf>
    <xf borderId="0" fillId="0" fontId="4" numFmtId="3" xfId="0" applyAlignment="1" applyFont="1" applyNumberFormat="1">
      <alignment horizontal="center"/>
    </xf>
    <xf borderId="0" fillId="0" fontId="4" numFmtId="165" xfId="0" applyAlignment="1" applyFont="1" applyNumberFormat="1">
      <alignment horizontal="center"/>
    </xf>
    <xf borderId="0" fillId="0" fontId="4" numFmtId="166" xfId="0" applyAlignment="1" applyFont="1" applyNumberFormat="1">
      <alignment horizontal="right"/>
    </xf>
    <xf borderId="0" fillId="0" fontId="4" numFmtId="9" xfId="0" applyAlignment="1" applyFont="1" applyNumberFormat="1">
      <alignment horizontal="center"/>
    </xf>
    <xf borderId="0" fillId="0" fontId="4" numFmtId="10" xfId="0" applyAlignment="1" applyFont="1" applyNumberFormat="1">
      <alignment horizontal="center"/>
    </xf>
    <xf borderId="0" fillId="0" fontId="4" numFmtId="167" xfId="0" applyAlignment="1" applyFont="1" applyNumberFormat="1">
      <alignment horizontal="right"/>
    </xf>
    <xf borderId="0" fillId="0" fontId="3" numFmtId="0" xfId="0" applyAlignment="1" applyFont="1">
      <alignment horizontal="center"/>
    </xf>
    <xf borderId="0" fillId="0" fontId="3" numFmtId="168" xfId="0" applyAlignment="1" applyFont="1" applyNumberFormat="1">
      <alignment horizontal="right"/>
    </xf>
    <xf borderId="0" fillId="0" fontId="3" numFmtId="10" xfId="0" applyAlignment="1" applyFont="1" applyNumberFormat="1">
      <alignment horizontal="center"/>
    </xf>
    <xf borderId="4" fillId="0" fontId="3" numFmtId="0" xfId="0" applyAlignment="1" applyBorder="1" applyFont="1">
      <alignment horizontal="center"/>
    </xf>
    <xf borderId="4" fillId="0" fontId="3" numFmtId="3" xfId="0" applyAlignment="1" applyBorder="1" applyFont="1" applyNumberFormat="1">
      <alignment horizontal="center"/>
    </xf>
    <xf borderId="4" fillId="0" fontId="3" numFmtId="168" xfId="0" applyAlignment="1" applyBorder="1" applyFont="1" applyNumberFormat="1">
      <alignment horizontal="right"/>
    </xf>
    <xf borderId="4" fillId="0" fontId="4" numFmtId="0" xfId="0" applyAlignment="1" applyBorder="1" applyFont="1">
      <alignment horizontal="center"/>
    </xf>
    <xf borderId="4" fillId="0" fontId="4" numFmtId="0" xfId="0" applyBorder="1" applyFont="1"/>
    <xf borderId="4" fillId="0" fontId="3" numFmtId="10" xfId="0" applyAlignment="1" applyBorder="1" applyFont="1" applyNumberFormat="1">
      <alignment horizontal="center"/>
    </xf>
    <xf borderId="0" fillId="0" fontId="3" numFmtId="3" xfId="0" applyAlignment="1" applyFont="1" applyNumberFormat="1">
      <alignment horizontal="center"/>
    </xf>
    <xf borderId="1" fillId="3" fontId="3" numFmtId="0" xfId="0" applyAlignment="1" applyBorder="1" applyFont="1">
      <alignment horizontal="left"/>
    </xf>
    <xf borderId="0" fillId="0" fontId="4" numFmtId="167" xfId="0" applyFont="1" applyNumberFormat="1"/>
    <xf borderId="4" fillId="0" fontId="3" numFmtId="0" xfId="0" applyBorder="1" applyFont="1"/>
    <xf borderId="4" fillId="0" fontId="3" numFmtId="167" xfId="0" applyBorder="1" applyFont="1" applyNumberFormat="1"/>
    <xf borderId="0" fillId="0" fontId="4" numFmtId="166" xfId="0" applyFont="1" applyNumberFormat="1"/>
    <xf borderId="0" fillId="0" fontId="5" numFmtId="0" xfId="0" applyAlignment="1" applyFont="1">
      <alignment horizontal="center"/>
    </xf>
    <xf borderId="5" fillId="0" fontId="3" numFmtId="0" xfId="0" applyBorder="1" applyFont="1"/>
    <xf borderId="6" fillId="0" fontId="4" numFmtId="0" xfId="0" applyBorder="1" applyFont="1"/>
    <xf borderId="7" fillId="4" fontId="4" numFmtId="0" xfId="0" applyAlignment="1" applyBorder="1" applyFill="1" applyFont="1">
      <alignment readingOrder="0"/>
    </xf>
    <xf borderId="3" fillId="0" fontId="3" numFmtId="0" xfId="0" applyBorder="1" applyFont="1"/>
    <xf borderId="8" fillId="4" fontId="4" numFmtId="0" xfId="0" applyAlignment="1" applyBorder="1" applyFont="1">
      <alignment readingOrder="0"/>
    </xf>
    <xf borderId="9" fillId="0" fontId="3" numFmtId="0" xfId="0" applyBorder="1" applyFont="1"/>
    <xf borderId="10" fillId="0" fontId="4" numFmtId="0" xfId="0" applyBorder="1" applyFont="1"/>
    <xf borderId="11" fillId="4" fontId="4" numFmtId="0" xfId="0" applyAlignment="1" applyBorder="1" applyFont="1">
      <alignment readingOrder="0"/>
    </xf>
    <xf borderId="12" fillId="0" fontId="6" numFmtId="0" xfId="0" applyAlignment="1" applyBorder="1" applyFont="1">
      <alignment shrinkToFit="0" wrapText="1"/>
    </xf>
    <xf borderId="12" fillId="0" fontId="6" numFmtId="0" xfId="0" applyAlignment="1" applyBorder="1" applyFont="1">
      <alignment vertical="center"/>
    </xf>
    <xf borderId="0" fillId="0" fontId="7" numFmtId="0" xfId="0" applyFont="1"/>
    <xf borderId="0" fillId="0" fontId="8" numFmtId="0" xfId="0" applyFont="1"/>
    <xf borderId="0" fillId="0" fontId="8" numFmtId="0" xfId="0" applyAlignment="1" applyFont="1">
      <alignment readingOrder="0"/>
    </xf>
    <xf borderId="0" fillId="0" fontId="6" numFmtId="0" xfId="0" applyFont="1"/>
    <xf borderId="0" fillId="0" fontId="9" numFmtId="0" xfId="0" applyFont="1"/>
    <xf borderId="0" fillId="0" fontId="6" numFmtId="3" xfId="0" applyAlignment="1" applyFont="1" applyNumberFormat="1">
      <alignment readingOrder="0"/>
    </xf>
    <xf borderId="0" fillId="0" fontId="6" numFmtId="3" xfId="0" applyFont="1" applyNumberFormat="1"/>
    <xf borderId="0" fillId="0" fontId="10" numFmtId="37" xfId="0" applyFont="1" applyNumberFormat="1"/>
    <xf borderId="1" fillId="5" fontId="10" numFmtId="37" xfId="0" applyBorder="1" applyFill="1" applyFont="1" applyNumberFormat="1"/>
    <xf borderId="13" fillId="6" fontId="11" numFmtId="0" xfId="0" applyBorder="1" applyFill="1" applyFont="1"/>
    <xf borderId="13" fillId="6" fontId="11" numFmtId="0" xfId="0" applyAlignment="1" applyBorder="1" applyFont="1">
      <alignment horizontal="right"/>
    </xf>
    <xf borderId="0" fillId="0" fontId="12" numFmtId="0" xfId="0" applyFont="1"/>
    <xf borderId="0" fillId="0" fontId="6" numFmtId="4" xfId="0" applyFont="1" applyNumberFormat="1"/>
    <xf borderId="0" fillId="0" fontId="6" numFmtId="0" xfId="0" applyAlignment="1" applyFont="1">
      <alignment horizontal="right" readingOrder="0"/>
    </xf>
    <xf borderId="0" fillId="0" fontId="6" numFmtId="10" xfId="0" applyAlignment="1" applyFont="1" applyNumberFormat="1">
      <alignment horizontal="right"/>
    </xf>
    <xf borderId="0" fillId="0" fontId="6" numFmtId="9" xfId="0" applyFont="1" applyNumberFormat="1"/>
    <xf borderId="4" fillId="0" fontId="13" numFmtId="0" xfId="0" applyBorder="1" applyFont="1"/>
    <xf borderId="4" fillId="0" fontId="6" numFmtId="0" xfId="0" applyAlignment="1" applyBorder="1" applyFont="1">
      <alignment horizontal="right"/>
    </xf>
    <xf borderId="4" fillId="0" fontId="6" numFmtId="9" xfId="0" applyAlignment="1" applyBorder="1" applyFont="1" applyNumberFormat="1">
      <alignment horizontal="right" readingOrder="0"/>
    </xf>
    <xf borderId="0" fillId="0" fontId="6" numFmtId="10" xfId="0" applyFont="1" applyNumberFormat="1"/>
    <xf borderId="0" fillId="0" fontId="6" numFmtId="0" xfId="0" applyAlignment="1" applyFont="1">
      <alignment horizontal="right"/>
    </xf>
    <xf borderId="14" fillId="6" fontId="11" numFmtId="0" xfId="0" applyAlignment="1" applyBorder="1" applyFont="1">
      <alignment horizontal="right"/>
    </xf>
    <xf borderId="0" fillId="0" fontId="6" numFmtId="0" xfId="0" applyAlignment="1" applyFont="1">
      <alignment readingOrder="0"/>
    </xf>
    <xf borderId="15" fillId="0" fontId="13" numFmtId="0" xfId="0" applyAlignment="1" applyBorder="1" applyFont="1">
      <alignment horizontal="left"/>
    </xf>
    <xf borderId="15" fillId="0" fontId="13" numFmtId="9" xfId="0" applyAlignment="1" applyBorder="1" applyFont="1" applyNumberFormat="1">
      <alignment horizontal="left" readingOrder="0"/>
    </xf>
    <xf borderId="0" fillId="0" fontId="2" numFmtId="3" xfId="0" applyAlignment="1" applyFont="1" applyNumberFormat="1">
      <alignment readingOrder="0"/>
    </xf>
    <xf borderId="0" fillId="0" fontId="4" numFmtId="15" xfId="0" applyFont="1" applyNumberFormat="1"/>
    <xf borderId="1" fillId="3" fontId="14" numFmtId="14" xfId="0" applyBorder="1" applyFont="1" applyNumberFormat="1"/>
    <xf borderId="1" fillId="3" fontId="12" numFmtId="14" xfId="0" applyBorder="1" applyFont="1" applyNumberFormat="1"/>
    <xf borderId="1" fillId="3" fontId="12" numFmtId="169" xfId="0" applyBorder="1" applyFont="1" applyNumberFormat="1"/>
    <xf borderId="0" fillId="0" fontId="15" numFmtId="0" xfId="0" applyAlignment="1" applyFont="1">
      <alignment readingOrder="0"/>
    </xf>
    <xf borderId="0" fillId="0" fontId="3" numFmtId="0" xfId="0" applyAlignment="1" applyFont="1">
      <alignment readingOrder="0"/>
    </xf>
    <xf borderId="0" fillId="0" fontId="2" numFmtId="2" xfId="0" applyAlignment="1" applyFont="1" applyNumberFormat="1">
      <alignment readingOrder="0"/>
    </xf>
    <xf borderId="0" fillId="0" fontId="2" numFmtId="2" xfId="0" applyFont="1" applyNumberFormat="1"/>
    <xf borderId="10" fillId="0" fontId="3" numFmtId="0" xfId="0" applyBorder="1" applyFont="1"/>
    <xf borderId="10" fillId="0" fontId="15" numFmtId="0" xfId="0" applyAlignment="1" applyBorder="1" applyFont="1">
      <alignment readingOrder="0"/>
    </xf>
    <xf borderId="10" fillId="0" fontId="15" numFmtId="0" xfId="0" applyBorder="1" applyFont="1"/>
    <xf borderId="10" fillId="0" fontId="15" numFmtId="3" xfId="0" applyBorder="1" applyFont="1" applyNumberFormat="1"/>
    <xf borderId="0" fillId="0" fontId="15" numFmtId="0" xfId="0" applyFont="1"/>
    <xf borderId="0" fillId="0" fontId="15" numFmtId="3" xfId="0" applyFont="1" applyNumberFormat="1"/>
    <xf borderId="0" fillId="0" fontId="2" numFmtId="3" xfId="0" applyFont="1" applyNumberFormat="1"/>
    <xf borderId="4" fillId="7" fontId="3" numFmtId="0" xfId="0" applyAlignment="1" applyBorder="1" applyFill="1" applyFont="1">
      <alignment readingOrder="0"/>
    </xf>
    <xf borderId="4" fillId="7" fontId="15" numFmtId="0" xfId="0" applyAlignment="1" applyBorder="1" applyFont="1">
      <alignment readingOrder="0"/>
    </xf>
    <xf borderId="4" fillId="7" fontId="15" numFmtId="0" xfId="0" applyBorder="1" applyFont="1"/>
    <xf borderId="4" fillId="7" fontId="15" numFmtId="3" xfId="0" applyBorder="1" applyFont="1" applyNumberFormat="1"/>
    <xf borderId="4" fillId="7" fontId="2" numFmtId="0" xfId="0" applyBorder="1" applyFont="1"/>
    <xf borderId="4" fillId="7" fontId="2" numFmtId="3" xfId="0" applyBorder="1" applyFont="1" applyNumberFormat="1"/>
    <xf borderId="4" fillId="7" fontId="3" numFmtId="0" xfId="0" applyBorder="1" applyFont="1"/>
    <xf borderId="0" fillId="7" fontId="3" numFmtId="0" xfId="0" applyAlignment="1" applyFont="1">
      <alignment readingOrder="0"/>
    </xf>
    <xf borderId="0" fillId="7" fontId="2" numFmtId="0" xfId="0" applyFont="1"/>
    <xf borderId="0" fillId="7" fontId="2" numFmtId="3" xfId="0" applyFont="1" applyNumberFormat="1"/>
    <xf borderId="16" fillId="0" fontId="2" numFmtId="0" xfId="0" applyBorder="1" applyFont="1"/>
    <xf borderId="17" fillId="8" fontId="2" numFmtId="0" xfId="0" applyBorder="1" applyFill="1" applyFont="1"/>
    <xf borderId="17" fillId="8" fontId="14" numFmtId="170" xfId="0" applyAlignment="1" applyBorder="1" applyFont="1" applyNumberFormat="1">
      <alignment readingOrder="0"/>
    </xf>
    <xf borderId="17" fillId="8" fontId="14" numFmtId="170" xfId="0" applyBorder="1" applyFont="1" applyNumberFormat="1"/>
    <xf borderId="18" fillId="8" fontId="14" numFmtId="170" xfId="0" applyBorder="1" applyFont="1" applyNumberFormat="1"/>
    <xf borderId="16" fillId="0" fontId="2" numFmtId="3" xfId="0" applyBorder="1" applyFont="1" applyNumberFormat="1"/>
    <xf borderId="4" fillId="0" fontId="2" numFmtId="0" xfId="0" applyAlignment="1" applyBorder="1" applyFont="1">
      <alignment readingOrder="0"/>
    </xf>
    <xf borderId="4" fillId="0" fontId="2" numFmtId="0" xfId="0" applyBorder="1" applyFont="1"/>
    <xf borderId="4" fillId="0" fontId="2" numFmtId="3" xfId="0" applyBorder="1" applyFont="1" applyNumberFormat="1"/>
    <xf borderId="2" fillId="0" fontId="2" numFmtId="3" xfId="0" applyBorder="1" applyFont="1" applyNumberFormat="1"/>
    <xf borderId="0" fillId="0" fontId="15" numFmtId="0" xfId="0" applyAlignment="1" applyFont="1">
      <alignment horizontal="center" readingOrder="0"/>
    </xf>
    <xf borderId="2" fillId="0" fontId="15" numFmtId="3" xfId="0" applyAlignment="1" applyBorder="1" applyFont="1" applyNumberFormat="1">
      <alignment horizontal="center"/>
    </xf>
    <xf borderId="19" fillId="9" fontId="15" numFmtId="0" xfId="0" applyAlignment="1" applyBorder="1" applyFill="1" applyFont="1">
      <alignment horizontal="center" readingOrder="0"/>
    </xf>
    <xf borderId="20" fillId="9" fontId="15" numFmtId="0" xfId="0" applyAlignment="1" applyBorder="1" applyFont="1">
      <alignment horizontal="center" readingOrder="0"/>
    </xf>
    <xf borderId="21" fillId="9" fontId="15" numFmtId="0" xfId="0" applyAlignment="1" applyBorder="1" applyFont="1">
      <alignment horizontal="center" readingOrder="0"/>
    </xf>
    <xf borderId="22" fillId="0" fontId="2" numFmtId="0" xfId="0" applyAlignment="1" applyBorder="1" applyFont="1">
      <alignment readingOrder="0"/>
    </xf>
    <xf borderId="2" fillId="0" fontId="2" numFmtId="3" xfId="0" applyAlignment="1" applyBorder="1" applyFont="1" applyNumberFormat="1">
      <alignment readingOrder="0"/>
    </xf>
    <xf borderId="23" fillId="0" fontId="2" numFmtId="3" xfId="0" applyAlignment="1" applyBorder="1" applyFont="1" applyNumberFormat="1">
      <alignment readingOrder="0"/>
    </xf>
    <xf borderId="24" fillId="0" fontId="2" numFmtId="0" xfId="0" applyAlignment="1" applyBorder="1" applyFont="1">
      <alignment readingOrder="0"/>
    </xf>
    <xf borderId="25" fillId="0" fontId="2" numFmtId="3" xfId="0" applyBorder="1" applyFont="1" applyNumberFormat="1"/>
    <xf borderId="26" fillId="0" fontId="2" numFmtId="3" xfId="0" applyAlignment="1" applyBorder="1" applyFont="1" applyNumberFormat="1">
      <alignment readingOrder="0"/>
    </xf>
    <xf borderId="27" fillId="0" fontId="2" numFmtId="0" xfId="0" applyAlignment="1" applyBorder="1" applyFont="1">
      <alignment readingOrder="0"/>
    </xf>
    <xf borderId="28" fillId="0" fontId="2" numFmtId="3" xfId="0" applyBorder="1" applyFont="1" applyNumberFormat="1"/>
    <xf borderId="18" fillId="0" fontId="2" numFmtId="3" xfId="0" applyBorder="1" applyFont="1" applyNumberFormat="1"/>
    <xf borderId="29" fillId="0" fontId="2" numFmtId="0" xfId="0" applyBorder="1" applyFont="1"/>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88"/>
    <col customWidth="1" min="2" max="2" width="20.38"/>
    <col customWidth="1" min="3" max="3" width="21.75"/>
    <col customWidth="1" min="4" max="4" width="14.63"/>
    <col customWidth="1" min="5" max="5" width="14.0"/>
    <col customWidth="1" min="6" max="6" width="15.63"/>
    <col customWidth="1" min="7" max="7" width="17.13"/>
    <col customWidth="1" min="8" max="9" width="13.13"/>
    <col customWidth="1" min="10" max="17" width="9.38"/>
    <col customWidth="1" min="18" max="26" width="14.38"/>
  </cols>
  <sheetData>
    <row r="1" ht="14.25" customHeight="1">
      <c r="A1" s="1" t="s">
        <v>0</v>
      </c>
    </row>
    <row r="2" ht="14.25" customHeight="1"/>
    <row r="3" ht="14.25" customHeight="1">
      <c r="A3" s="2" t="s">
        <v>1</v>
      </c>
    </row>
    <row r="4" ht="14.25" customHeight="1">
      <c r="A4" s="2" t="s">
        <v>2</v>
      </c>
    </row>
    <row r="5" ht="14.25" customHeight="1">
      <c r="A5" s="2" t="s">
        <v>3</v>
      </c>
    </row>
    <row r="6" ht="14.25" customHeight="1">
      <c r="A6" s="3" t="s">
        <v>4</v>
      </c>
    </row>
    <row r="7" ht="14.25" customHeight="1"/>
    <row r="8" ht="14.25" customHeight="1">
      <c r="A8" s="4" t="s">
        <v>5</v>
      </c>
      <c r="B8" s="5"/>
      <c r="C8" s="6"/>
      <c r="D8" s="7"/>
    </row>
    <row r="9" ht="14.25" customHeight="1">
      <c r="A9" s="8" t="s">
        <v>6</v>
      </c>
      <c r="B9" s="9">
        <v>44197.0</v>
      </c>
      <c r="C9" s="10"/>
    </row>
    <row r="10" ht="14.25" customHeight="1">
      <c r="A10" s="8" t="s">
        <v>7</v>
      </c>
      <c r="B10" s="11" t="s">
        <v>8</v>
      </c>
      <c r="C10" s="10" t="s">
        <v>9</v>
      </c>
    </row>
    <row r="11" ht="14.25" customHeight="1">
      <c r="A11" s="8" t="s">
        <v>10</v>
      </c>
      <c r="B11" s="8" t="s">
        <v>11</v>
      </c>
      <c r="C11" s="10"/>
    </row>
    <row r="12" ht="14.25" customHeight="1">
      <c r="A12" s="8" t="s">
        <v>12</v>
      </c>
      <c r="B12" s="12">
        <v>0.075</v>
      </c>
      <c r="C12" s="10" t="s">
        <v>13</v>
      </c>
    </row>
    <row r="13" ht="14.25" customHeight="1">
      <c r="A13" s="8" t="s">
        <v>14</v>
      </c>
      <c r="B13" s="13">
        <v>0.02</v>
      </c>
      <c r="C13" s="2" t="s">
        <v>15</v>
      </c>
    </row>
    <row r="14" ht="14.25" customHeight="1"/>
    <row r="15" ht="14.25" customHeight="1">
      <c r="A15" s="4" t="s">
        <v>16</v>
      </c>
      <c r="B15" s="5"/>
    </row>
    <row r="16" ht="14.25" customHeight="1">
      <c r="A16" s="8" t="s">
        <v>17</v>
      </c>
      <c r="B16" s="9">
        <v>44197.0</v>
      </c>
    </row>
    <row r="17" ht="14.25" customHeight="1">
      <c r="A17" s="8" t="s">
        <v>18</v>
      </c>
      <c r="B17" s="11" t="s">
        <v>8</v>
      </c>
    </row>
    <row r="18" ht="14.25" customHeight="1">
      <c r="A18" s="8" t="s">
        <v>19</v>
      </c>
      <c r="B18" s="13">
        <v>0.75</v>
      </c>
      <c r="C18" s="2" t="s">
        <v>20</v>
      </c>
    </row>
    <row r="19" ht="14.25" customHeight="1">
      <c r="A19" s="8" t="s">
        <v>21</v>
      </c>
      <c r="B19" s="12">
        <v>0.04</v>
      </c>
    </row>
    <row r="20" ht="14.25" customHeight="1">
      <c r="A20" s="8" t="s">
        <v>22</v>
      </c>
      <c r="B20" s="13">
        <v>0.01</v>
      </c>
    </row>
    <row r="21" ht="14.25" customHeight="1">
      <c r="A21" s="8" t="s">
        <v>23</v>
      </c>
      <c r="B21" s="11" t="s">
        <v>24</v>
      </c>
      <c r="C21" s="2" t="s">
        <v>25</v>
      </c>
    </row>
    <row r="22" ht="14.25" customHeight="1"/>
    <row r="23" ht="14.25" customHeight="1">
      <c r="A23" s="4" t="s">
        <v>26</v>
      </c>
      <c r="B23" s="5"/>
    </row>
    <row r="24" ht="14.25" customHeight="1">
      <c r="A24" s="2" t="s">
        <v>27</v>
      </c>
    </row>
    <row r="25" ht="14.25" customHeight="1">
      <c r="A25" s="2" t="s">
        <v>28</v>
      </c>
    </row>
    <row r="26" ht="14.25" customHeight="1">
      <c r="A26" s="2" t="s">
        <v>29</v>
      </c>
    </row>
    <row r="27" ht="14.25" customHeight="1">
      <c r="A27" s="2" t="s">
        <v>30</v>
      </c>
    </row>
    <row r="28" ht="14.25" customHeight="1"/>
    <row r="29" ht="14.25" customHeight="1">
      <c r="A29" s="4" t="s">
        <v>31</v>
      </c>
      <c r="B29" s="5"/>
      <c r="C29" s="5"/>
      <c r="D29" s="5"/>
      <c r="E29" s="5"/>
      <c r="F29" s="5"/>
      <c r="G29" s="5"/>
      <c r="H29" s="5"/>
      <c r="I29" s="5"/>
      <c r="J29" s="5"/>
      <c r="K29" s="5"/>
      <c r="L29" s="5"/>
      <c r="M29" s="7"/>
      <c r="N29" s="7"/>
      <c r="O29" s="7"/>
      <c r="P29" s="7"/>
      <c r="Q29" s="7"/>
    </row>
    <row r="30" ht="14.25" customHeight="1">
      <c r="A30" s="14" t="s">
        <v>32</v>
      </c>
      <c r="B30" s="14" t="s">
        <v>33</v>
      </c>
      <c r="C30" s="14" t="s">
        <v>34</v>
      </c>
      <c r="D30" s="15" t="s">
        <v>35</v>
      </c>
      <c r="E30" s="15" t="s">
        <v>36</v>
      </c>
      <c r="F30" s="14" t="s">
        <v>37</v>
      </c>
      <c r="G30" s="14" t="s">
        <v>38</v>
      </c>
      <c r="H30" s="14" t="s">
        <v>39</v>
      </c>
      <c r="I30" s="14" t="s">
        <v>40</v>
      </c>
      <c r="J30" s="14"/>
      <c r="K30" s="14"/>
      <c r="L30" s="14"/>
    </row>
    <row r="31" ht="14.25" customHeight="1">
      <c r="A31" s="14"/>
      <c r="B31" s="14" t="s">
        <v>41</v>
      </c>
      <c r="C31" s="14"/>
      <c r="D31" s="15" t="s">
        <v>42</v>
      </c>
      <c r="E31" s="15" t="s">
        <v>42</v>
      </c>
      <c r="F31" s="14" t="s">
        <v>43</v>
      </c>
      <c r="G31" s="14" t="s">
        <v>42</v>
      </c>
      <c r="H31" s="14" t="s">
        <v>44</v>
      </c>
      <c r="I31" s="14"/>
      <c r="J31" s="14"/>
      <c r="K31" s="14"/>
      <c r="L31" s="14"/>
    </row>
    <row r="32" ht="14.25" customHeight="1">
      <c r="A32" s="16">
        <v>1001.0</v>
      </c>
      <c r="B32" s="17">
        <v>10000.0</v>
      </c>
      <c r="C32" s="16" t="s">
        <v>45</v>
      </c>
      <c r="D32" s="18">
        <v>43160.0</v>
      </c>
      <c r="E32" s="18">
        <f t="shared" ref="E32:E36" si="1">EOMONTH(D32,120)</f>
        <v>46843</v>
      </c>
      <c r="F32" s="19">
        <v>12.15</v>
      </c>
      <c r="G32" s="18">
        <v>44197.0</v>
      </c>
      <c r="H32" s="20">
        <v>0.03</v>
      </c>
      <c r="I32" s="21" t="s">
        <v>46</v>
      </c>
    </row>
    <row r="33" ht="14.25" customHeight="1">
      <c r="A33" s="16">
        <v>1002.0</v>
      </c>
      <c r="B33" s="17">
        <v>10000.0</v>
      </c>
      <c r="C33" s="16" t="s">
        <v>45</v>
      </c>
      <c r="D33" s="18">
        <v>43617.0</v>
      </c>
      <c r="E33" s="18">
        <f t="shared" si="1"/>
        <v>47299</v>
      </c>
      <c r="F33" s="19">
        <v>11.5</v>
      </c>
      <c r="G33" s="18">
        <v>44197.0</v>
      </c>
      <c r="H33" s="20">
        <v>0.03</v>
      </c>
      <c r="I33" s="21" t="s">
        <v>46</v>
      </c>
    </row>
    <row r="34" ht="14.25" customHeight="1">
      <c r="A34" s="16">
        <v>1003.0</v>
      </c>
      <c r="B34" s="17">
        <v>15000.0</v>
      </c>
      <c r="C34" s="16" t="s">
        <v>45</v>
      </c>
      <c r="D34" s="18">
        <v>43831.0</v>
      </c>
      <c r="E34" s="18">
        <f t="shared" si="1"/>
        <v>47514</v>
      </c>
      <c r="F34" s="19">
        <v>10.75</v>
      </c>
      <c r="G34" s="18">
        <v>44197.0</v>
      </c>
      <c r="H34" s="20">
        <v>0.03</v>
      </c>
      <c r="I34" s="21" t="s">
        <v>46</v>
      </c>
    </row>
    <row r="35" ht="14.25" customHeight="1">
      <c r="A35" s="16">
        <v>1004.0</v>
      </c>
      <c r="B35" s="17">
        <v>5000.0</v>
      </c>
      <c r="C35" s="16" t="s">
        <v>45</v>
      </c>
      <c r="D35" s="18">
        <v>43160.0</v>
      </c>
      <c r="E35" s="18">
        <f t="shared" si="1"/>
        <v>46843</v>
      </c>
      <c r="F35" s="22">
        <v>12.0</v>
      </c>
      <c r="G35" s="18">
        <v>44197.0</v>
      </c>
      <c r="H35" s="20">
        <v>0.05</v>
      </c>
      <c r="I35" s="21" t="s">
        <v>46</v>
      </c>
    </row>
    <row r="36" ht="14.25" customHeight="1">
      <c r="A36" s="16">
        <v>1005.0</v>
      </c>
      <c r="B36" s="17">
        <v>10000.0</v>
      </c>
      <c r="C36" s="16" t="s">
        <v>45</v>
      </c>
      <c r="D36" s="18">
        <v>43617.0</v>
      </c>
      <c r="E36" s="18">
        <f t="shared" si="1"/>
        <v>47299</v>
      </c>
      <c r="F36" s="22">
        <v>12.0</v>
      </c>
      <c r="G36" s="18">
        <v>44197.0</v>
      </c>
      <c r="H36" s="20">
        <v>0.05</v>
      </c>
      <c r="I36" s="21" t="s">
        <v>46</v>
      </c>
    </row>
    <row r="37" ht="14.25" customHeight="1">
      <c r="A37" s="16">
        <v>1006.0</v>
      </c>
      <c r="B37" s="17">
        <v>6000.0</v>
      </c>
      <c r="C37" s="16" t="s">
        <v>47</v>
      </c>
      <c r="D37" s="23"/>
      <c r="E37" s="23"/>
      <c r="F37" s="24"/>
      <c r="G37" s="16"/>
      <c r="I37" s="25"/>
    </row>
    <row r="38" ht="14.25" customHeight="1">
      <c r="A38" s="26" t="s">
        <v>48</v>
      </c>
      <c r="B38" s="27">
        <f>SUM(B32:B37)</f>
        <v>56000</v>
      </c>
      <c r="C38" s="26"/>
      <c r="D38" s="26"/>
      <c r="E38" s="26"/>
      <c r="F38" s="28">
        <f>SUMPRODUCT(F32:F36,B32:B36)/B38</f>
        <v>10.31696429</v>
      </c>
      <c r="G38" s="29"/>
      <c r="H38" s="30"/>
      <c r="I38" s="31"/>
      <c r="J38" s="30"/>
      <c r="K38" s="30"/>
      <c r="L38" s="30"/>
    </row>
    <row r="39" ht="14.25" customHeight="1">
      <c r="A39" s="23"/>
      <c r="B39" s="32"/>
      <c r="C39" s="23"/>
      <c r="D39" s="23"/>
      <c r="E39" s="23"/>
      <c r="F39" s="24"/>
      <c r="G39" s="16"/>
      <c r="I39" s="25"/>
    </row>
    <row r="40" ht="14.25" customHeight="1">
      <c r="A40" s="16"/>
      <c r="B40" s="16"/>
      <c r="C40" s="16"/>
      <c r="D40" s="16"/>
      <c r="E40" s="16"/>
      <c r="F40" s="16"/>
    </row>
    <row r="41" ht="14.25" customHeight="1">
      <c r="A41" s="16"/>
      <c r="B41" s="16"/>
      <c r="C41" s="16"/>
      <c r="D41" s="16"/>
      <c r="E41" s="16"/>
      <c r="F41" s="16"/>
    </row>
    <row r="42" ht="14.25" customHeight="1">
      <c r="A42" s="4" t="s">
        <v>49</v>
      </c>
      <c r="B42" s="5"/>
      <c r="C42" s="16"/>
      <c r="D42" s="16"/>
      <c r="E42" s="16"/>
      <c r="F42" s="16"/>
    </row>
    <row r="43" ht="14.25" customHeight="1">
      <c r="A43" s="2" t="s">
        <v>50</v>
      </c>
      <c r="D43" s="16"/>
      <c r="E43" s="16"/>
      <c r="F43" s="16"/>
      <c r="G43" s="16"/>
    </row>
    <row r="44" ht="14.25" customHeight="1">
      <c r="A44" s="2" t="s">
        <v>51</v>
      </c>
    </row>
    <row r="45" ht="14.25" customHeight="1"/>
    <row r="46" ht="14.25" customHeight="1">
      <c r="A46" s="4" t="s">
        <v>49</v>
      </c>
      <c r="B46" s="5"/>
    </row>
    <row r="47" ht="14.25" customHeight="1">
      <c r="A47" s="33" t="s">
        <v>52</v>
      </c>
      <c r="B47" s="14" t="s">
        <v>53</v>
      </c>
    </row>
    <row r="48" ht="14.25" customHeight="1">
      <c r="A48" s="2" t="s">
        <v>54</v>
      </c>
      <c r="B48" s="34">
        <v>25000.0</v>
      </c>
    </row>
    <row r="49" ht="14.25" customHeight="1">
      <c r="A49" s="2" t="s">
        <v>55</v>
      </c>
      <c r="B49" s="34">
        <v>75000.0</v>
      </c>
    </row>
    <row r="50" ht="14.25" customHeight="1">
      <c r="A50" s="2" t="s">
        <v>56</v>
      </c>
      <c r="B50" s="34">
        <v>25000.0</v>
      </c>
    </row>
    <row r="51" ht="14.25" customHeight="1">
      <c r="A51" s="2" t="s">
        <v>57</v>
      </c>
      <c r="B51" s="34">
        <v>20000.0</v>
      </c>
    </row>
    <row r="52" ht="14.25" customHeight="1">
      <c r="A52" s="2" t="s">
        <v>58</v>
      </c>
      <c r="B52" s="34">
        <v>45000.0</v>
      </c>
    </row>
    <row r="53" ht="14.25" customHeight="1">
      <c r="A53" s="35" t="s">
        <v>48</v>
      </c>
      <c r="B53" s="36">
        <f>SUM(B48:B52)</f>
        <v>190000</v>
      </c>
    </row>
    <row r="54" ht="14.25" customHeight="1"/>
    <row r="55" ht="14.25" customHeight="1"/>
    <row r="56" ht="14.25" customHeight="1">
      <c r="A56" s="4" t="s">
        <v>59</v>
      </c>
      <c r="B56" s="5"/>
    </row>
    <row r="57" ht="14.25" customHeight="1">
      <c r="A57" s="14" t="s">
        <v>60</v>
      </c>
      <c r="B57" s="14" t="s">
        <v>61</v>
      </c>
    </row>
    <row r="58" ht="14.25" customHeight="1">
      <c r="A58" s="14"/>
      <c r="B58" s="14" t="s">
        <v>62</v>
      </c>
    </row>
    <row r="59" ht="14.25" customHeight="1">
      <c r="A59" s="16">
        <v>2021.0</v>
      </c>
      <c r="B59" s="19">
        <v>2.0</v>
      </c>
    </row>
    <row r="60" ht="14.25" customHeight="1">
      <c r="A60" s="16">
        <v>2022.0</v>
      </c>
      <c r="B60" s="37">
        <v>1.25</v>
      </c>
    </row>
    <row r="61" ht="14.25" customHeight="1">
      <c r="A61" s="16">
        <v>2023.0</v>
      </c>
      <c r="B61" s="37">
        <v>1.0</v>
      </c>
    </row>
    <row r="62" ht="14.25" customHeight="1">
      <c r="A62" s="16">
        <v>2024.0</v>
      </c>
      <c r="B62" s="37">
        <v>1.0</v>
      </c>
    </row>
    <row r="63" ht="14.25" customHeight="1">
      <c r="A63" s="16">
        <v>2025.0</v>
      </c>
      <c r="B63" s="37">
        <v>1.0</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5"/>
    <col customWidth="1" min="2" max="2" width="29.88"/>
    <col customWidth="1" min="3" max="3" width="8.75"/>
    <col customWidth="1" min="4" max="4" width="33.13"/>
    <col customWidth="1" min="5" max="6" width="8.75"/>
    <col customWidth="1" min="7" max="26" width="14.38"/>
  </cols>
  <sheetData>
    <row r="1" ht="14.25" customHeight="1">
      <c r="A1" s="38" t="s">
        <v>63</v>
      </c>
    </row>
    <row r="2" ht="14.25" customHeight="1">
      <c r="B2" s="39" t="s">
        <v>64</v>
      </c>
      <c r="C2" s="40"/>
      <c r="D2" s="41" t="s">
        <v>65</v>
      </c>
    </row>
    <row r="3" ht="14.25" customHeight="1">
      <c r="B3" s="42" t="s">
        <v>66</v>
      </c>
      <c r="D3" s="43" t="s">
        <v>67</v>
      </c>
    </row>
    <row r="4" ht="14.25" customHeight="1">
      <c r="B4" s="42" t="s">
        <v>68</v>
      </c>
      <c r="D4" s="43" t="s">
        <v>69</v>
      </c>
    </row>
    <row r="5" ht="14.25" customHeight="1">
      <c r="B5" s="44" t="s">
        <v>70</v>
      </c>
      <c r="C5" s="45"/>
      <c r="D5" s="46">
        <v>9.146918917E9</v>
      </c>
    </row>
    <row r="6" ht="14.25" customHeight="1"/>
    <row r="7" ht="14.25" customHeight="1">
      <c r="B7" s="47" t="s">
        <v>71</v>
      </c>
    </row>
    <row r="8" ht="14.25" customHeight="1">
      <c r="B8" s="48" t="s">
        <v>72</v>
      </c>
    </row>
    <row r="9" ht="14.25" customHeight="1">
      <c r="B9" s="48" t="s">
        <v>73</v>
      </c>
    </row>
    <row r="10" ht="14.25" customHeight="1"/>
    <row r="11" ht="14.25" customHeight="1"/>
    <row r="12" ht="14.25" customHeight="1"/>
    <row r="13" ht="14.25" customHeight="1"/>
    <row r="14" ht="14.25" customHeight="1">
      <c r="A14" s="6" t="s">
        <v>74</v>
      </c>
      <c r="B14" s="2" t="s">
        <v>75</v>
      </c>
    </row>
    <row r="15" ht="14.25" customHeight="1">
      <c r="A15" s="49" t="s">
        <v>76</v>
      </c>
    </row>
    <row r="16" ht="14.25" customHeight="1"/>
    <row r="17" ht="14.25" customHeight="1"/>
    <row r="18" ht="14.25" customHeight="1">
      <c r="A18" s="6" t="s">
        <v>77</v>
      </c>
      <c r="B18" s="2" t="s">
        <v>78</v>
      </c>
    </row>
    <row r="19" ht="14.25" customHeight="1">
      <c r="B19" s="2" t="s">
        <v>79</v>
      </c>
    </row>
    <row r="20" ht="14.25" customHeight="1">
      <c r="B20" s="2" t="s">
        <v>80</v>
      </c>
    </row>
    <row r="21" ht="14.25" customHeight="1">
      <c r="B21" s="2" t="s">
        <v>81</v>
      </c>
    </row>
    <row r="22" ht="14.25" customHeight="1">
      <c r="A22" s="49" t="s">
        <v>76</v>
      </c>
      <c r="B22" s="3" t="s">
        <v>82</v>
      </c>
    </row>
    <row r="23" ht="14.25" customHeight="1"/>
    <row r="24" ht="14.25" customHeight="1"/>
    <row r="25" ht="14.25" customHeight="1">
      <c r="A25" s="6" t="s">
        <v>83</v>
      </c>
      <c r="B25" s="2" t="s">
        <v>84</v>
      </c>
    </row>
    <row r="26" ht="14.25" customHeight="1">
      <c r="A26" s="49" t="s">
        <v>76</v>
      </c>
      <c r="B26" s="3" t="s">
        <v>85</v>
      </c>
    </row>
    <row r="27" ht="14.25" customHeight="1">
      <c r="A27" s="49"/>
    </row>
    <row r="28" ht="14.25" customHeight="1">
      <c r="A28" s="49"/>
    </row>
    <row r="29" ht="14.25" customHeight="1">
      <c r="A29" s="6" t="s">
        <v>86</v>
      </c>
      <c r="B29" s="2" t="s">
        <v>87</v>
      </c>
    </row>
    <row r="30" ht="14.25" customHeight="1">
      <c r="A30" s="49" t="s">
        <v>76</v>
      </c>
      <c r="B30" s="3" t="s">
        <v>88</v>
      </c>
    </row>
    <row r="31" ht="14.25" customHeight="1">
      <c r="A31" s="49"/>
      <c r="B31" s="3" t="s">
        <v>89</v>
      </c>
    </row>
    <row r="32" ht="14.25" customHeight="1">
      <c r="A32" s="49"/>
    </row>
    <row r="33" ht="14.25" customHeight="1"/>
    <row r="34" ht="14.25" customHeight="1">
      <c r="A34" s="6" t="s">
        <v>90</v>
      </c>
      <c r="B34" s="2" t="s">
        <v>91</v>
      </c>
    </row>
    <row r="35" ht="14.25" customHeight="1">
      <c r="B35" s="50" t="s">
        <v>92</v>
      </c>
    </row>
    <row r="36" ht="14.25" customHeight="1">
      <c r="A36" s="49" t="s">
        <v>76</v>
      </c>
      <c r="B36" s="51" t="s">
        <v>93</v>
      </c>
    </row>
    <row r="37" ht="14.25" customHeight="1">
      <c r="A37" s="49"/>
      <c r="B37" s="50"/>
    </row>
    <row r="38" ht="14.25" customHeight="1"/>
    <row r="39" ht="14.25" customHeight="1">
      <c r="A39" s="6" t="s">
        <v>94</v>
      </c>
      <c r="B39" s="2" t="s">
        <v>95</v>
      </c>
    </row>
    <row r="40" ht="14.25" customHeight="1">
      <c r="A40" s="49" t="s">
        <v>76</v>
      </c>
      <c r="B40" s="3" t="s">
        <v>96</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F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38"/>
    <col customWidth="1" min="2" max="3" width="15.88"/>
    <col customWidth="1" min="4" max="4" width="14.13"/>
    <col customWidth="1" min="5" max="11" width="8.88"/>
    <col customWidth="1" min="12" max="26" width="14.38"/>
  </cols>
  <sheetData>
    <row r="1" ht="12.75" customHeight="1">
      <c r="A1" s="52"/>
      <c r="B1" s="52"/>
      <c r="C1" s="52"/>
      <c r="D1" s="52"/>
      <c r="E1" s="52"/>
      <c r="F1" s="52"/>
      <c r="G1" s="52"/>
      <c r="H1" s="52"/>
      <c r="I1" s="52"/>
      <c r="J1" s="52"/>
      <c r="K1" s="52"/>
    </row>
    <row r="2" ht="12.75" customHeight="1">
      <c r="A2" s="52"/>
      <c r="B2" s="52"/>
      <c r="C2" s="52"/>
      <c r="D2" s="52"/>
      <c r="E2" s="52"/>
      <c r="F2" s="52"/>
      <c r="G2" s="52"/>
      <c r="H2" s="52"/>
      <c r="I2" s="52"/>
      <c r="J2" s="52"/>
      <c r="K2" s="52"/>
    </row>
    <row r="3" ht="12.75" customHeight="1">
      <c r="A3" s="53" t="s">
        <v>97</v>
      </c>
      <c r="B3" s="52"/>
      <c r="C3" s="52"/>
      <c r="D3" s="52"/>
      <c r="E3" s="52"/>
      <c r="F3" s="52"/>
      <c r="G3" s="52"/>
      <c r="H3" s="52"/>
      <c r="I3" s="52"/>
      <c r="J3" s="52"/>
      <c r="K3" s="52"/>
    </row>
    <row r="4" ht="12.75" customHeight="1">
      <c r="A4" s="52"/>
      <c r="B4" s="52"/>
      <c r="C4" s="52"/>
      <c r="D4" s="52"/>
      <c r="E4" s="52"/>
      <c r="F4" s="52"/>
      <c r="G4" s="52"/>
      <c r="H4" s="52"/>
      <c r="I4" s="52"/>
      <c r="J4" s="52"/>
      <c r="K4" s="52"/>
    </row>
    <row r="5" ht="12.75" customHeight="1">
      <c r="A5" s="52" t="s">
        <v>98</v>
      </c>
      <c r="B5" s="52"/>
      <c r="C5" s="54">
        <v>5000000.0</v>
      </c>
      <c r="D5" s="52"/>
      <c r="E5" s="52"/>
      <c r="F5" s="52"/>
      <c r="G5" s="52"/>
      <c r="H5" s="52"/>
      <c r="I5" s="52"/>
      <c r="J5" s="52"/>
      <c r="K5" s="52"/>
    </row>
    <row r="6" ht="12.75" customHeight="1">
      <c r="A6" s="52" t="s">
        <v>99</v>
      </c>
      <c r="B6" s="52"/>
      <c r="C6" s="54">
        <f>'Yearly Cashflow'!H8</f>
        <v>6468931.119</v>
      </c>
      <c r="D6" s="52"/>
      <c r="E6" s="52"/>
      <c r="F6" s="52"/>
      <c r="G6" s="52"/>
      <c r="H6" s="52"/>
      <c r="I6" s="52"/>
      <c r="J6" s="52"/>
      <c r="K6" s="52"/>
    </row>
    <row r="7" ht="12.75" customHeight="1">
      <c r="A7" s="52" t="s">
        <v>100</v>
      </c>
      <c r="B7" s="52"/>
      <c r="C7" s="55">
        <f>SUM('Monthly Cashflow'!E40:P40)</f>
        <v>408682.5</v>
      </c>
      <c r="D7" s="55">
        <f> SUM('Monthly Cashflow'!Q40:AB40)</f>
        <v>426622.975</v>
      </c>
      <c r="E7" s="55">
        <f>SUM('Monthly Cashflow'!AC40:AN40)</f>
        <v>445328.6643</v>
      </c>
      <c r="F7" s="55">
        <f> SUM('Monthly Cashflow'!AO40:AZ40)</f>
        <v>464832.7342</v>
      </c>
      <c r="G7" s="55">
        <f> SUM('Monthly Cashflow'!BA40:BL40)</f>
        <v>485169.8339</v>
      </c>
      <c r="H7" s="52"/>
      <c r="I7" s="52"/>
      <c r="J7" s="52"/>
      <c r="K7" s="52"/>
    </row>
    <row r="8" ht="12.75" customHeight="1">
      <c r="A8" s="52" t="s">
        <v>101</v>
      </c>
      <c r="B8" s="52"/>
      <c r="C8" s="55">
        <f>SUM('Monthly Cashflow'!E46:'Monthly Cashflow'!P46)</f>
        <v>171155.9219</v>
      </c>
      <c r="D8" s="55">
        <f>SUM('Monthly Cashflow'!Q46:'Monthly Cashflow'!AB46)</f>
        <v>189096.3969</v>
      </c>
      <c r="E8" s="55">
        <f>SUM('Monthly Cashflow'!AC46:'Monthly Cashflow'!AN46)</f>
        <v>207802.0861</v>
      </c>
      <c r="F8" s="55">
        <f>SUM('Monthly Cashflow'!AO46:'Monthly Cashflow'!AZ46)</f>
        <v>227306.156</v>
      </c>
      <c r="G8" s="55">
        <f>SUM('Monthly Cashflow'!BA46:'Monthly Cashflow'!BL46)</f>
        <v>247643.2558</v>
      </c>
      <c r="H8" s="52"/>
      <c r="I8" s="52"/>
      <c r="J8" s="52"/>
      <c r="K8" s="52"/>
    </row>
    <row r="9" ht="12.75" customHeight="1">
      <c r="A9" s="52"/>
      <c r="B9" s="52"/>
      <c r="C9" s="52"/>
      <c r="D9" s="56"/>
      <c r="E9" s="52"/>
      <c r="F9" s="52"/>
      <c r="G9" s="52"/>
      <c r="H9" s="52"/>
      <c r="I9" s="52"/>
      <c r="J9" s="52"/>
      <c r="K9" s="52"/>
    </row>
    <row r="10" ht="12.75" customHeight="1">
      <c r="A10" s="57" t="s">
        <v>102</v>
      </c>
      <c r="B10" s="57"/>
      <c r="C10" s="57"/>
      <c r="D10" s="52"/>
      <c r="E10" s="57" t="s">
        <v>103</v>
      </c>
      <c r="F10" s="57"/>
      <c r="G10" s="57"/>
      <c r="H10" s="57"/>
      <c r="I10" s="52"/>
      <c r="J10" s="52"/>
      <c r="K10" s="52"/>
    </row>
    <row r="11" ht="12.75" customHeight="1">
      <c r="A11" s="58" t="s">
        <v>104</v>
      </c>
      <c r="B11" s="59" t="s">
        <v>48</v>
      </c>
      <c r="C11" s="59" t="s">
        <v>105</v>
      </c>
      <c r="D11" s="52"/>
      <c r="E11" s="60" t="s">
        <v>106</v>
      </c>
      <c r="F11" s="52"/>
      <c r="G11" s="52"/>
      <c r="H11" s="61">
        <f>3131413/1212500</f>
        <v>2.58260866</v>
      </c>
      <c r="I11" s="52"/>
      <c r="J11" s="52"/>
      <c r="K11" s="52"/>
    </row>
    <row r="12" ht="12.75" customHeight="1">
      <c r="A12" s="52" t="s">
        <v>107</v>
      </c>
      <c r="B12" s="62">
        <v>3750000.0</v>
      </c>
      <c r="C12" s="63">
        <f>B12*C14/B14</f>
        <v>0.7556675063</v>
      </c>
      <c r="D12" s="52"/>
      <c r="E12" s="52" t="s">
        <v>108</v>
      </c>
      <c r="F12" s="52"/>
      <c r="G12" s="52"/>
      <c r="H12" s="64">
        <f>IRR(B34:B39)</f>
        <v>0.2994281365</v>
      </c>
      <c r="I12" s="52"/>
      <c r="J12" s="52"/>
      <c r="K12" s="52"/>
    </row>
    <row r="13" ht="12.75" customHeight="1">
      <c r="A13" s="52" t="s">
        <v>109</v>
      </c>
      <c r="B13" s="62">
        <v>1212500.0</v>
      </c>
      <c r="C13" s="63">
        <f>B13*C14/B14</f>
        <v>0.2443324937</v>
      </c>
      <c r="D13" s="52"/>
      <c r="E13" s="60" t="s">
        <v>110</v>
      </c>
      <c r="F13" s="52"/>
      <c r="G13" s="52"/>
      <c r="H13" s="52">
        <f>2963720-1212500</f>
        <v>1751220</v>
      </c>
      <c r="I13" s="52"/>
      <c r="J13" s="52"/>
      <c r="K13" s="52"/>
    </row>
    <row r="14" ht="12.75" customHeight="1">
      <c r="A14" s="65" t="s">
        <v>48</v>
      </c>
      <c r="B14" s="66">
        <f>B12+B13</f>
        <v>4962500</v>
      </c>
      <c r="C14" s="67">
        <v>1.0</v>
      </c>
      <c r="D14" s="52"/>
      <c r="E14" s="52" t="s">
        <v>111</v>
      </c>
      <c r="F14" s="52"/>
      <c r="G14" s="52"/>
      <c r="H14" s="68">
        <f>H13/1287500</f>
        <v>1.360170874</v>
      </c>
      <c r="I14" s="52"/>
      <c r="J14" s="52"/>
      <c r="K14" s="52"/>
    </row>
    <row r="15" ht="12.75" customHeight="1">
      <c r="A15" s="52"/>
      <c r="B15" s="69"/>
      <c r="C15" s="69"/>
      <c r="D15" s="52"/>
      <c r="E15" s="52"/>
      <c r="F15" s="52"/>
      <c r="G15" s="52"/>
      <c r="H15" s="52"/>
      <c r="I15" s="52"/>
      <c r="J15" s="52"/>
      <c r="K15" s="52"/>
    </row>
    <row r="16" ht="12.75" customHeight="1">
      <c r="A16" s="58" t="s">
        <v>112</v>
      </c>
      <c r="B16" s="59" t="s">
        <v>48</v>
      </c>
      <c r="C16" s="70" t="s">
        <v>105</v>
      </c>
      <c r="D16" s="52"/>
      <c r="E16" s="52"/>
      <c r="F16" s="52"/>
      <c r="G16" s="52"/>
      <c r="H16" s="52"/>
      <c r="I16" s="52"/>
      <c r="J16" s="52"/>
      <c r="K16" s="52"/>
    </row>
    <row r="17" ht="12.75" customHeight="1">
      <c r="A17" s="52" t="s">
        <v>113</v>
      </c>
      <c r="B17" s="71">
        <v>5000000.0</v>
      </c>
      <c r="C17" s="68">
        <f>B17*C20/B20</f>
        <v>0.9345794393</v>
      </c>
      <c r="D17" s="52"/>
      <c r="E17" s="52"/>
      <c r="F17" s="52"/>
      <c r="G17" s="52"/>
      <c r="H17" s="52"/>
      <c r="I17" s="52"/>
      <c r="J17" s="52"/>
      <c r="K17" s="52"/>
    </row>
    <row r="18" ht="12.75" customHeight="1">
      <c r="A18" s="52" t="s">
        <v>114</v>
      </c>
      <c r="B18" s="71">
        <v>37500.0</v>
      </c>
      <c r="C18" s="68">
        <f>B18*C20/B20</f>
        <v>0.007009345794</v>
      </c>
      <c r="D18" s="52"/>
      <c r="E18" s="52"/>
      <c r="F18" s="52"/>
      <c r="G18" s="52"/>
      <c r="H18" s="52"/>
      <c r="I18" s="52"/>
      <c r="J18" s="52"/>
      <c r="K18" s="52"/>
    </row>
    <row r="19" ht="12.75" customHeight="1">
      <c r="A19" s="52" t="s">
        <v>59</v>
      </c>
      <c r="B19" s="71">
        <v>312500.0</v>
      </c>
      <c r="C19" s="68">
        <f>B19*C20/B20</f>
        <v>0.05841121495</v>
      </c>
      <c r="D19" s="52"/>
      <c r="E19" s="52"/>
      <c r="F19" s="52"/>
      <c r="G19" s="52"/>
      <c r="H19" s="52"/>
      <c r="I19" s="52"/>
      <c r="J19" s="52"/>
      <c r="K19" s="52"/>
    </row>
    <row r="20" ht="12.75" customHeight="1">
      <c r="A20" s="72" t="s">
        <v>48</v>
      </c>
      <c r="B20" s="72">
        <f>B17+B18+B19</f>
        <v>5350000</v>
      </c>
      <c r="C20" s="73">
        <v>1.0</v>
      </c>
      <c r="D20" s="52"/>
      <c r="E20" s="52"/>
      <c r="F20" s="52"/>
      <c r="G20" s="52"/>
      <c r="H20" s="52"/>
      <c r="I20" s="52"/>
      <c r="J20" s="52"/>
      <c r="K20" s="52"/>
    </row>
    <row r="21" ht="12.75" customHeight="1">
      <c r="A21" s="52"/>
      <c r="B21" s="52"/>
      <c r="C21" s="52"/>
      <c r="D21" s="52"/>
      <c r="E21" s="52"/>
      <c r="F21" s="52"/>
      <c r="G21" s="52"/>
      <c r="H21" s="52"/>
      <c r="I21" s="52"/>
      <c r="J21" s="52"/>
      <c r="K21" s="52"/>
    </row>
    <row r="22" ht="12.75" customHeight="1">
      <c r="A22" s="52"/>
      <c r="B22" s="52"/>
      <c r="C22" s="52"/>
      <c r="D22" s="52"/>
      <c r="E22" s="52"/>
      <c r="F22" s="52"/>
      <c r="G22" s="52"/>
      <c r="H22" s="52"/>
      <c r="I22" s="52"/>
      <c r="J22" s="52"/>
      <c r="K22" s="52"/>
    </row>
    <row r="23" ht="12.75" customHeight="1">
      <c r="A23" s="52"/>
      <c r="B23" s="52"/>
      <c r="C23" s="52"/>
      <c r="D23" s="52"/>
      <c r="E23" s="52"/>
      <c r="F23" s="52"/>
      <c r="G23" s="52"/>
      <c r="H23" s="52"/>
      <c r="I23" s="52"/>
      <c r="J23" s="52"/>
      <c r="K23" s="52"/>
    </row>
    <row r="24" ht="12.75" customHeight="1">
      <c r="A24" s="52"/>
      <c r="B24" s="52"/>
      <c r="C24" s="52"/>
      <c r="D24" s="52"/>
      <c r="E24" s="52"/>
      <c r="F24" s="52"/>
      <c r="G24" s="52"/>
      <c r="H24" s="52"/>
      <c r="I24" s="52"/>
      <c r="J24" s="52"/>
      <c r="K24" s="52"/>
    </row>
    <row r="25" ht="12.75" customHeight="1">
      <c r="A25" s="52"/>
      <c r="B25" s="52"/>
      <c r="C25" s="52"/>
      <c r="D25" s="52"/>
      <c r="E25" s="52"/>
      <c r="F25" s="52"/>
      <c r="G25" s="52"/>
      <c r="H25" s="52"/>
      <c r="I25" s="52"/>
      <c r="J25" s="52"/>
      <c r="K25" s="52"/>
    </row>
    <row r="26" ht="12.75" customHeight="1">
      <c r="A26" s="52"/>
      <c r="B26" s="52"/>
      <c r="C26" s="52"/>
      <c r="D26" s="52"/>
      <c r="E26" s="52"/>
      <c r="F26" s="52"/>
      <c r="G26" s="52"/>
      <c r="H26" s="52"/>
      <c r="I26" s="52"/>
      <c r="J26" s="52"/>
      <c r="K26" s="52"/>
    </row>
    <row r="27" ht="12.75" customHeight="1">
      <c r="A27" s="52"/>
      <c r="B27" s="52"/>
      <c r="C27" s="52"/>
      <c r="D27" s="52"/>
      <c r="E27" s="52"/>
      <c r="F27" s="52"/>
      <c r="G27" s="52"/>
      <c r="H27" s="52"/>
      <c r="I27" s="52"/>
      <c r="J27" s="52"/>
      <c r="K27" s="52"/>
    </row>
    <row r="28" ht="12.75" customHeight="1">
      <c r="A28" s="52"/>
      <c r="B28" s="52"/>
      <c r="C28" s="52"/>
      <c r="D28" s="52"/>
      <c r="E28" s="52"/>
      <c r="F28" s="52"/>
      <c r="G28" s="52"/>
      <c r="H28" s="52"/>
      <c r="I28" s="52"/>
      <c r="J28" s="52"/>
      <c r="K28" s="52"/>
    </row>
    <row r="29" ht="12.75" customHeight="1">
      <c r="A29" s="52"/>
      <c r="B29" s="52"/>
      <c r="C29" s="52"/>
      <c r="D29" s="52"/>
      <c r="E29" s="52"/>
      <c r="F29" s="52"/>
      <c r="G29" s="52"/>
      <c r="H29" s="52"/>
      <c r="I29" s="52"/>
      <c r="J29" s="52"/>
      <c r="K29" s="52"/>
    </row>
    <row r="30" ht="12.75" customHeight="1">
      <c r="A30" s="52"/>
      <c r="B30" s="52"/>
      <c r="C30" s="52"/>
      <c r="D30" s="52"/>
      <c r="E30" s="52"/>
      <c r="F30" s="52"/>
      <c r="G30" s="52"/>
      <c r="H30" s="52"/>
      <c r="I30" s="52"/>
      <c r="J30" s="52"/>
      <c r="K30" s="52"/>
    </row>
    <row r="31" ht="12.75" customHeight="1">
      <c r="A31" s="52"/>
      <c r="B31" s="52"/>
      <c r="C31" s="52"/>
      <c r="D31" s="52"/>
      <c r="E31" s="52"/>
      <c r="F31" s="52"/>
      <c r="G31" s="52"/>
      <c r="H31" s="52"/>
      <c r="I31" s="52"/>
      <c r="J31" s="52"/>
      <c r="K31" s="52"/>
    </row>
    <row r="32" ht="12.75" customHeight="1">
      <c r="A32" s="52"/>
      <c r="B32" s="52"/>
      <c r="C32" s="52"/>
      <c r="D32" s="52"/>
      <c r="E32" s="52"/>
      <c r="F32" s="52"/>
      <c r="G32" s="52"/>
      <c r="H32" s="52"/>
      <c r="I32" s="52"/>
      <c r="J32" s="52"/>
      <c r="K32" s="52"/>
    </row>
    <row r="33" ht="12.75" customHeight="1">
      <c r="A33" s="71" t="s">
        <v>108</v>
      </c>
      <c r="B33" s="52"/>
      <c r="C33" s="52"/>
      <c r="D33" s="52"/>
      <c r="E33" s="52"/>
      <c r="F33" s="52"/>
      <c r="G33" s="52"/>
      <c r="H33" s="52"/>
      <c r="I33" s="52"/>
      <c r="J33" s="52"/>
      <c r="K33" s="52"/>
    </row>
    <row r="34" ht="12.75" customHeight="1">
      <c r="A34" s="71" t="s">
        <v>115</v>
      </c>
      <c r="B34" s="54">
        <v>-1287500.0</v>
      </c>
      <c r="C34" s="52"/>
      <c r="D34" s="52"/>
      <c r="E34" s="52"/>
      <c r="F34" s="52"/>
      <c r="G34" s="52"/>
      <c r="H34" s="52"/>
      <c r="I34" s="52"/>
      <c r="J34" s="52"/>
      <c r="K34" s="52"/>
    </row>
    <row r="35" ht="12.75" customHeight="1">
      <c r="A35" s="71" t="s">
        <v>116</v>
      </c>
      <c r="B35" s="54">
        <v>171156.0</v>
      </c>
      <c r="C35" s="52"/>
      <c r="D35" s="52"/>
      <c r="E35" s="52"/>
      <c r="F35" s="52"/>
      <c r="G35" s="52"/>
      <c r="H35" s="52"/>
      <c r="I35" s="52"/>
      <c r="J35" s="52"/>
      <c r="K35" s="52"/>
    </row>
    <row r="36" ht="12.75" customHeight="1">
      <c r="A36" s="71" t="s">
        <v>117</v>
      </c>
      <c r="B36" s="74">
        <v>189096.0</v>
      </c>
      <c r="C36" s="52"/>
      <c r="D36" s="52"/>
      <c r="E36" s="52"/>
      <c r="F36" s="52"/>
      <c r="G36" s="52"/>
      <c r="H36" s="52"/>
      <c r="I36" s="52"/>
      <c r="J36" s="52"/>
      <c r="K36" s="52"/>
    </row>
    <row r="37" ht="12.75" customHeight="1">
      <c r="A37" s="71" t="s">
        <v>118</v>
      </c>
      <c r="B37" s="54">
        <v>207802.0</v>
      </c>
      <c r="C37" s="52"/>
      <c r="D37" s="52"/>
      <c r="E37" s="52"/>
      <c r="F37" s="52"/>
      <c r="G37" s="52"/>
      <c r="H37" s="52"/>
      <c r="I37" s="52"/>
      <c r="J37" s="52"/>
      <c r="K37" s="52"/>
    </row>
    <row r="38" ht="12.75" customHeight="1">
      <c r="A38" s="71" t="s">
        <v>119</v>
      </c>
      <c r="B38" s="54">
        <v>227306.0</v>
      </c>
      <c r="C38" s="52"/>
      <c r="D38" s="52"/>
      <c r="E38" s="52"/>
      <c r="F38" s="52"/>
      <c r="G38" s="52"/>
      <c r="H38" s="52"/>
      <c r="I38" s="52"/>
      <c r="J38" s="52"/>
      <c r="K38" s="52"/>
    </row>
    <row r="39" ht="12.75" customHeight="1">
      <c r="A39" s="71" t="s">
        <v>120</v>
      </c>
      <c r="B39" s="54">
        <v>3220773.0</v>
      </c>
      <c r="C39" s="52"/>
      <c r="D39" s="52"/>
      <c r="E39" s="52"/>
      <c r="F39" s="52"/>
      <c r="G39" s="52"/>
      <c r="H39" s="52"/>
      <c r="I39" s="52"/>
      <c r="J39" s="52"/>
      <c r="K39" s="52"/>
    </row>
    <row r="40" ht="12.75" customHeight="1">
      <c r="A40" s="52"/>
      <c r="B40" s="52"/>
      <c r="C40" s="52"/>
      <c r="D40" s="52"/>
      <c r="E40" s="52"/>
      <c r="F40" s="52"/>
      <c r="G40" s="52"/>
      <c r="H40" s="52"/>
      <c r="I40" s="52"/>
      <c r="J40" s="52"/>
      <c r="K40" s="52"/>
    </row>
    <row r="41" ht="12.75" customHeight="1">
      <c r="A41" s="52"/>
      <c r="B41" s="52"/>
      <c r="C41" s="52"/>
      <c r="D41" s="52"/>
      <c r="E41" s="52"/>
      <c r="F41" s="52"/>
      <c r="G41" s="52"/>
      <c r="H41" s="52"/>
      <c r="I41" s="52"/>
      <c r="J41" s="52"/>
      <c r="K41" s="52"/>
    </row>
    <row r="42" ht="12.75" customHeight="1">
      <c r="A42" s="52"/>
      <c r="B42" s="52"/>
      <c r="C42" s="52"/>
      <c r="D42" s="52"/>
      <c r="E42" s="52"/>
      <c r="F42" s="52"/>
      <c r="G42" s="52"/>
      <c r="H42" s="52"/>
      <c r="I42" s="52"/>
      <c r="J42" s="52"/>
      <c r="K42" s="52"/>
    </row>
    <row r="43" ht="12.75" customHeight="1">
      <c r="A43" s="52"/>
      <c r="B43" s="52"/>
      <c r="C43" s="52"/>
      <c r="D43" s="52"/>
      <c r="E43" s="52"/>
      <c r="F43" s="52"/>
      <c r="G43" s="52"/>
      <c r="H43" s="52"/>
      <c r="I43" s="52"/>
      <c r="J43" s="52"/>
      <c r="K43" s="52"/>
    </row>
    <row r="44" ht="12.75" customHeight="1">
      <c r="A44" s="52"/>
      <c r="B44" s="52"/>
      <c r="C44" s="52"/>
      <c r="D44" s="52"/>
      <c r="E44" s="52"/>
      <c r="F44" s="52"/>
      <c r="G44" s="52"/>
      <c r="H44" s="52"/>
      <c r="I44" s="52"/>
      <c r="J44" s="52"/>
      <c r="K44" s="52"/>
    </row>
    <row r="45" ht="12.75" customHeight="1">
      <c r="A45" s="52"/>
      <c r="B45" s="52"/>
      <c r="C45" s="52"/>
      <c r="D45" s="52"/>
      <c r="E45" s="52"/>
      <c r="F45" s="52"/>
      <c r="G45" s="52"/>
      <c r="H45" s="52"/>
      <c r="I45" s="52"/>
      <c r="J45" s="52"/>
      <c r="K45" s="52"/>
    </row>
    <row r="46" ht="12.75" customHeight="1">
      <c r="A46" s="52"/>
      <c r="B46" s="52"/>
      <c r="C46" s="52"/>
      <c r="D46" s="52"/>
      <c r="E46" s="52"/>
      <c r="F46" s="52"/>
      <c r="G46" s="52"/>
      <c r="H46" s="52"/>
      <c r="I46" s="52"/>
      <c r="J46" s="52"/>
      <c r="K46" s="52"/>
    </row>
    <row r="47" ht="12.75" customHeight="1">
      <c r="A47" s="52"/>
      <c r="B47" s="52"/>
      <c r="C47" s="52"/>
      <c r="D47" s="52"/>
      <c r="E47" s="52"/>
      <c r="F47" s="52"/>
      <c r="G47" s="52"/>
      <c r="H47" s="52"/>
      <c r="I47" s="52"/>
      <c r="J47" s="52"/>
      <c r="K47" s="52"/>
    </row>
    <row r="48" ht="12.75" customHeight="1">
      <c r="A48" s="52"/>
      <c r="B48" s="52"/>
      <c r="C48" s="52"/>
      <c r="D48" s="52"/>
      <c r="E48" s="52"/>
      <c r="F48" s="52"/>
      <c r="G48" s="52"/>
      <c r="H48" s="52"/>
      <c r="I48" s="52"/>
      <c r="J48" s="52"/>
      <c r="K48" s="52"/>
    </row>
    <row r="49" ht="12.75" customHeight="1">
      <c r="A49" s="52"/>
      <c r="B49" s="52"/>
      <c r="C49" s="52"/>
      <c r="D49" s="52"/>
      <c r="E49" s="52"/>
      <c r="F49" s="52"/>
      <c r="G49" s="52"/>
      <c r="H49" s="52"/>
      <c r="I49" s="52"/>
      <c r="J49" s="52"/>
      <c r="K49" s="52"/>
    </row>
    <row r="50" ht="12.75" customHeight="1">
      <c r="A50" s="52"/>
      <c r="B50" s="52"/>
      <c r="C50" s="52"/>
      <c r="D50" s="52"/>
      <c r="E50" s="52"/>
      <c r="F50" s="52"/>
      <c r="G50" s="52"/>
      <c r="H50" s="52"/>
      <c r="I50" s="52"/>
      <c r="J50" s="52"/>
      <c r="K50" s="52"/>
    </row>
    <row r="51" ht="12.75" customHeight="1">
      <c r="A51" s="52"/>
      <c r="B51" s="52"/>
      <c r="C51" s="52"/>
      <c r="D51" s="52"/>
      <c r="E51" s="52"/>
      <c r="F51" s="52"/>
      <c r="G51" s="52"/>
      <c r="H51" s="52"/>
      <c r="I51" s="52"/>
      <c r="J51" s="52"/>
      <c r="K51" s="52"/>
    </row>
    <row r="52" ht="12.75" customHeight="1">
      <c r="A52" s="52"/>
      <c r="B52" s="52"/>
      <c r="C52" s="52"/>
      <c r="D52" s="52"/>
      <c r="E52" s="52"/>
      <c r="F52" s="52"/>
      <c r="G52" s="52"/>
      <c r="H52" s="52"/>
      <c r="I52" s="52"/>
      <c r="J52" s="52"/>
      <c r="K52" s="52"/>
    </row>
    <row r="53" ht="12.75" customHeight="1">
      <c r="A53" s="52"/>
      <c r="B53" s="52"/>
      <c r="C53" s="52"/>
      <c r="D53" s="52"/>
      <c r="E53" s="52"/>
      <c r="F53" s="52"/>
      <c r="G53" s="52"/>
      <c r="H53" s="52"/>
      <c r="I53" s="52"/>
      <c r="J53" s="52"/>
      <c r="K53" s="52"/>
    </row>
    <row r="54" ht="12.75" customHeight="1">
      <c r="A54" s="52"/>
      <c r="B54" s="52"/>
      <c r="C54" s="52"/>
      <c r="D54" s="52"/>
      <c r="E54" s="52"/>
      <c r="F54" s="52"/>
      <c r="G54" s="52"/>
      <c r="H54" s="52"/>
      <c r="I54" s="52"/>
      <c r="J54" s="52"/>
      <c r="K54" s="52"/>
    </row>
    <row r="55" ht="12.75" customHeight="1">
      <c r="A55" s="52"/>
      <c r="B55" s="52"/>
      <c r="C55" s="52"/>
      <c r="D55" s="52"/>
      <c r="E55" s="52"/>
      <c r="F55" s="52"/>
      <c r="G55" s="52"/>
      <c r="H55" s="52"/>
      <c r="I55" s="52"/>
      <c r="J55" s="52"/>
      <c r="K55" s="52"/>
    </row>
    <row r="56" ht="12.75" customHeight="1">
      <c r="A56" s="52"/>
      <c r="B56" s="52"/>
      <c r="C56" s="52"/>
      <c r="D56" s="52"/>
      <c r="E56" s="52"/>
      <c r="F56" s="52"/>
      <c r="G56" s="52"/>
      <c r="H56" s="52"/>
      <c r="I56" s="52"/>
      <c r="J56" s="52"/>
      <c r="K56" s="52"/>
    </row>
    <row r="57" ht="12.75" customHeight="1">
      <c r="A57" s="52"/>
      <c r="B57" s="52"/>
      <c r="C57" s="52"/>
      <c r="D57" s="52"/>
      <c r="E57" s="52"/>
      <c r="F57" s="52"/>
      <c r="G57" s="52"/>
      <c r="H57" s="52"/>
      <c r="I57" s="52"/>
      <c r="J57" s="52"/>
      <c r="K57" s="52"/>
    </row>
    <row r="58" ht="12.75" customHeight="1">
      <c r="A58" s="52"/>
      <c r="B58" s="52"/>
      <c r="C58" s="52"/>
      <c r="D58" s="52"/>
      <c r="E58" s="52"/>
      <c r="F58" s="52"/>
      <c r="G58" s="52"/>
      <c r="H58" s="52"/>
      <c r="I58" s="52"/>
      <c r="J58" s="52"/>
      <c r="K58" s="52"/>
    </row>
    <row r="59" ht="12.75" customHeight="1">
      <c r="A59" s="52"/>
      <c r="B59" s="52"/>
      <c r="C59" s="52"/>
      <c r="D59" s="52"/>
      <c r="E59" s="52"/>
      <c r="F59" s="52"/>
      <c r="G59" s="52"/>
      <c r="H59" s="52"/>
      <c r="I59" s="52"/>
      <c r="J59" s="52"/>
      <c r="K59" s="52"/>
    </row>
    <row r="60" ht="12.75" customHeight="1">
      <c r="A60" s="52"/>
      <c r="B60" s="52"/>
      <c r="C60" s="52"/>
      <c r="D60" s="52"/>
      <c r="E60" s="52"/>
      <c r="F60" s="52"/>
      <c r="G60" s="52"/>
      <c r="H60" s="52"/>
      <c r="I60" s="52"/>
      <c r="J60" s="52"/>
      <c r="K60" s="52"/>
    </row>
    <row r="61" ht="12.75" customHeight="1">
      <c r="A61" s="52"/>
      <c r="B61" s="52"/>
      <c r="C61" s="52"/>
      <c r="D61" s="52"/>
      <c r="E61" s="52"/>
      <c r="F61" s="52"/>
      <c r="G61" s="52"/>
      <c r="H61" s="52"/>
      <c r="I61" s="52"/>
      <c r="J61" s="52"/>
      <c r="K61" s="52"/>
    </row>
    <row r="62" ht="12.75" customHeight="1">
      <c r="A62" s="52"/>
      <c r="B62" s="52"/>
      <c r="C62" s="52"/>
      <c r="D62" s="52"/>
      <c r="E62" s="52"/>
      <c r="F62" s="52"/>
      <c r="G62" s="52"/>
      <c r="H62" s="52"/>
      <c r="I62" s="52"/>
      <c r="J62" s="52"/>
      <c r="K62" s="52"/>
    </row>
    <row r="63" ht="12.75" customHeight="1">
      <c r="A63" s="52"/>
      <c r="B63" s="52"/>
      <c r="C63" s="52"/>
      <c r="D63" s="52"/>
      <c r="E63" s="52"/>
      <c r="F63" s="52"/>
      <c r="G63" s="52"/>
      <c r="H63" s="52"/>
      <c r="I63" s="52"/>
      <c r="J63" s="52"/>
      <c r="K63" s="52"/>
    </row>
    <row r="64" ht="12.75" customHeight="1">
      <c r="A64" s="52"/>
      <c r="B64" s="52"/>
      <c r="C64" s="52"/>
      <c r="D64" s="52"/>
      <c r="E64" s="52"/>
      <c r="F64" s="52"/>
      <c r="G64" s="52"/>
      <c r="H64" s="52"/>
      <c r="I64" s="52"/>
      <c r="J64" s="52"/>
      <c r="K64" s="52"/>
    </row>
    <row r="65" ht="12.75" customHeight="1">
      <c r="A65" s="52"/>
      <c r="B65" s="52"/>
      <c r="C65" s="52"/>
      <c r="D65" s="52"/>
      <c r="E65" s="52"/>
      <c r="F65" s="52"/>
      <c r="G65" s="52"/>
      <c r="H65" s="52"/>
      <c r="I65" s="52"/>
      <c r="J65" s="52"/>
      <c r="K65" s="52"/>
    </row>
    <row r="66" ht="12.75" customHeight="1">
      <c r="A66" s="52"/>
      <c r="B66" s="52"/>
      <c r="C66" s="52"/>
      <c r="D66" s="52"/>
      <c r="E66" s="52"/>
      <c r="F66" s="52"/>
      <c r="G66" s="52"/>
      <c r="H66" s="52"/>
      <c r="I66" s="52"/>
      <c r="J66" s="52"/>
      <c r="K66" s="52"/>
    </row>
    <row r="67" ht="12.75" customHeight="1">
      <c r="A67" s="52"/>
      <c r="B67" s="52"/>
      <c r="C67" s="52"/>
      <c r="D67" s="52"/>
      <c r="E67" s="52"/>
      <c r="F67" s="52"/>
      <c r="G67" s="52"/>
      <c r="H67" s="52"/>
      <c r="I67" s="52"/>
      <c r="J67" s="52"/>
      <c r="K67" s="52"/>
    </row>
    <row r="68" ht="12.75" customHeight="1">
      <c r="A68" s="52"/>
      <c r="B68" s="52"/>
      <c r="C68" s="52"/>
      <c r="D68" s="52"/>
      <c r="E68" s="52"/>
      <c r="F68" s="52"/>
      <c r="G68" s="52"/>
      <c r="H68" s="52"/>
      <c r="I68" s="52"/>
      <c r="J68" s="52"/>
      <c r="K68" s="52"/>
    </row>
    <row r="69" ht="12.75" customHeight="1">
      <c r="A69" s="52"/>
      <c r="B69" s="52"/>
      <c r="C69" s="52"/>
      <c r="D69" s="52"/>
      <c r="E69" s="52"/>
      <c r="F69" s="52"/>
      <c r="G69" s="52"/>
      <c r="H69" s="52"/>
      <c r="I69" s="52"/>
      <c r="J69" s="52"/>
      <c r="K69" s="52"/>
    </row>
    <row r="70" ht="12.75" customHeight="1">
      <c r="A70" s="52"/>
      <c r="B70" s="52"/>
      <c r="C70" s="52"/>
      <c r="D70" s="52"/>
      <c r="E70" s="52"/>
      <c r="F70" s="52"/>
      <c r="G70" s="52"/>
      <c r="H70" s="52"/>
      <c r="I70" s="52"/>
      <c r="J70" s="52"/>
      <c r="K70" s="52"/>
    </row>
    <row r="71" ht="12.75" customHeight="1">
      <c r="A71" s="52"/>
      <c r="B71" s="52"/>
      <c r="C71" s="52"/>
      <c r="D71" s="52"/>
      <c r="E71" s="52"/>
      <c r="F71" s="52"/>
      <c r="G71" s="52"/>
      <c r="H71" s="52"/>
      <c r="I71" s="52"/>
      <c r="J71" s="52"/>
      <c r="K71" s="52"/>
    </row>
    <row r="72" ht="12.75" customHeight="1">
      <c r="A72" s="52"/>
      <c r="B72" s="52"/>
      <c r="C72" s="52"/>
      <c r="D72" s="52"/>
      <c r="E72" s="52"/>
      <c r="F72" s="52"/>
      <c r="G72" s="52"/>
      <c r="H72" s="52"/>
      <c r="I72" s="52"/>
      <c r="J72" s="52"/>
      <c r="K72" s="52"/>
    </row>
    <row r="73" ht="12.75" customHeight="1">
      <c r="A73" s="52"/>
      <c r="B73" s="52"/>
      <c r="C73" s="52"/>
      <c r="D73" s="52"/>
      <c r="E73" s="52"/>
      <c r="F73" s="52"/>
      <c r="G73" s="52"/>
      <c r="H73" s="52"/>
      <c r="I73" s="52"/>
      <c r="J73" s="52"/>
      <c r="K73" s="52"/>
    </row>
    <row r="74" ht="12.75" customHeight="1">
      <c r="A74" s="52"/>
      <c r="B74" s="52"/>
      <c r="C74" s="52"/>
      <c r="D74" s="52"/>
      <c r="E74" s="52"/>
      <c r="F74" s="52"/>
      <c r="G74" s="52"/>
      <c r="H74" s="52"/>
      <c r="I74" s="52"/>
      <c r="J74" s="52"/>
      <c r="K74" s="52"/>
    </row>
    <row r="75" ht="12.75" customHeight="1">
      <c r="A75" s="52"/>
      <c r="B75" s="52"/>
      <c r="C75" s="52"/>
      <c r="D75" s="52"/>
      <c r="E75" s="52"/>
      <c r="F75" s="52"/>
      <c r="G75" s="52"/>
      <c r="H75" s="52"/>
      <c r="I75" s="52"/>
      <c r="J75" s="52"/>
      <c r="K75" s="52"/>
    </row>
    <row r="76" ht="12.75" customHeight="1">
      <c r="A76" s="52"/>
      <c r="B76" s="52"/>
      <c r="C76" s="52"/>
      <c r="D76" s="52"/>
      <c r="E76" s="52"/>
      <c r="F76" s="52"/>
      <c r="G76" s="52"/>
      <c r="H76" s="52"/>
      <c r="I76" s="52"/>
      <c r="J76" s="52"/>
      <c r="K76" s="52"/>
    </row>
    <row r="77" ht="12.75" customHeight="1">
      <c r="A77" s="52"/>
      <c r="B77" s="52"/>
      <c r="C77" s="52"/>
      <c r="D77" s="52"/>
      <c r="E77" s="52"/>
      <c r="F77" s="52"/>
      <c r="G77" s="52"/>
      <c r="H77" s="52"/>
      <c r="I77" s="52"/>
      <c r="J77" s="52"/>
      <c r="K77" s="52"/>
    </row>
    <row r="78" ht="12.75" customHeight="1">
      <c r="A78" s="52"/>
      <c r="B78" s="52"/>
      <c r="C78" s="52"/>
      <c r="D78" s="52"/>
      <c r="E78" s="52"/>
      <c r="F78" s="52"/>
      <c r="G78" s="52"/>
      <c r="H78" s="52"/>
      <c r="I78" s="52"/>
      <c r="J78" s="52"/>
      <c r="K78" s="52"/>
    </row>
    <row r="79" ht="12.75" customHeight="1">
      <c r="A79" s="52"/>
      <c r="B79" s="52"/>
      <c r="C79" s="52"/>
      <c r="D79" s="52"/>
      <c r="E79" s="52"/>
      <c r="F79" s="52"/>
      <c r="G79" s="52"/>
      <c r="H79" s="52"/>
      <c r="I79" s="52"/>
      <c r="J79" s="52"/>
      <c r="K79" s="52"/>
    </row>
    <row r="80" ht="12.75" customHeight="1">
      <c r="A80" s="52"/>
      <c r="B80" s="52"/>
      <c r="C80" s="52"/>
      <c r="D80" s="52"/>
      <c r="E80" s="52"/>
      <c r="F80" s="52"/>
      <c r="G80" s="52"/>
      <c r="H80" s="52"/>
      <c r="I80" s="52"/>
      <c r="J80" s="52"/>
      <c r="K80" s="52"/>
    </row>
    <row r="81" ht="12.75" customHeight="1">
      <c r="A81" s="52"/>
      <c r="B81" s="52"/>
      <c r="C81" s="52"/>
      <c r="D81" s="52"/>
      <c r="E81" s="52"/>
      <c r="F81" s="52"/>
      <c r="G81" s="52"/>
      <c r="H81" s="52"/>
      <c r="I81" s="52"/>
      <c r="J81" s="52"/>
      <c r="K81" s="52"/>
    </row>
    <row r="82" ht="12.75" customHeight="1">
      <c r="A82" s="52"/>
      <c r="B82" s="52"/>
      <c r="C82" s="52"/>
      <c r="D82" s="52"/>
      <c r="E82" s="52"/>
      <c r="F82" s="52"/>
      <c r="G82" s="52"/>
      <c r="H82" s="52"/>
      <c r="I82" s="52"/>
      <c r="J82" s="52"/>
      <c r="K82" s="52"/>
    </row>
    <row r="83" ht="12.75" customHeight="1">
      <c r="A83" s="52"/>
      <c r="B83" s="52"/>
      <c r="C83" s="52"/>
      <c r="D83" s="52"/>
      <c r="E83" s="52"/>
      <c r="F83" s="52"/>
      <c r="G83" s="52"/>
      <c r="H83" s="52"/>
      <c r="I83" s="52"/>
      <c r="J83" s="52"/>
      <c r="K83" s="52"/>
    </row>
    <row r="84" ht="12.75" customHeight="1">
      <c r="A84" s="52"/>
      <c r="B84" s="52"/>
      <c r="C84" s="52"/>
      <c r="D84" s="52"/>
      <c r="E84" s="52"/>
      <c r="F84" s="52"/>
      <c r="G84" s="52"/>
      <c r="H84" s="52"/>
      <c r="I84" s="52"/>
      <c r="J84" s="52"/>
      <c r="K84" s="52"/>
    </row>
    <row r="85" ht="12.75" customHeight="1">
      <c r="A85" s="52"/>
      <c r="B85" s="52"/>
      <c r="C85" s="52"/>
      <c r="D85" s="52"/>
      <c r="E85" s="52"/>
      <c r="F85" s="52"/>
      <c r="G85" s="52"/>
      <c r="H85" s="52"/>
      <c r="I85" s="52"/>
      <c r="J85" s="52"/>
      <c r="K85" s="52"/>
    </row>
    <row r="86" ht="12.75" customHeight="1">
      <c r="A86" s="52"/>
      <c r="B86" s="52"/>
      <c r="C86" s="52"/>
      <c r="D86" s="52"/>
      <c r="E86" s="52"/>
      <c r="F86" s="52"/>
      <c r="G86" s="52"/>
      <c r="H86" s="52"/>
      <c r="I86" s="52"/>
      <c r="J86" s="52"/>
      <c r="K86" s="52"/>
    </row>
    <row r="87" ht="12.75" customHeight="1">
      <c r="A87" s="52"/>
      <c r="B87" s="52"/>
      <c r="C87" s="52"/>
      <c r="D87" s="52"/>
      <c r="E87" s="52"/>
      <c r="F87" s="52"/>
      <c r="G87" s="52"/>
      <c r="H87" s="52"/>
      <c r="I87" s="52"/>
      <c r="J87" s="52"/>
      <c r="K87" s="52"/>
    </row>
    <row r="88" ht="12.75" customHeight="1">
      <c r="A88" s="52"/>
      <c r="B88" s="52"/>
      <c r="C88" s="52"/>
      <c r="D88" s="52"/>
      <c r="E88" s="52"/>
      <c r="F88" s="52"/>
      <c r="G88" s="52"/>
      <c r="H88" s="52"/>
      <c r="I88" s="52"/>
      <c r="J88" s="52"/>
      <c r="K88" s="52"/>
    </row>
    <row r="89" ht="12.75" customHeight="1">
      <c r="A89" s="52"/>
      <c r="B89" s="52"/>
      <c r="C89" s="52"/>
      <c r="D89" s="52"/>
      <c r="E89" s="52"/>
      <c r="F89" s="52"/>
      <c r="G89" s="52"/>
      <c r="H89" s="52"/>
      <c r="I89" s="52"/>
      <c r="J89" s="52"/>
      <c r="K89" s="52"/>
    </row>
    <row r="90" ht="12.75" customHeight="1">
      <c r="A90" s="52"/>
      <c r="B90" s="52"/>
      <c r="C90" s="52"/>
      <c r="D90" s="52"/>
      <c r="E90" s="52"/>
      <c r="F90" s="52"/>
      <c r="G90" s="52"/>
      <c r="H90" s="52"/>
      <c r="I90" s="52"/>
      <c r="J90" s="52"/>
      <c r="K90" s="52"/>
    </row>
    <row r="91" ht="12.75" customHeight="1">
      <c r="A91" s="52"/>
      <c r="B91" s="52"/>
      <c r="C91" s="52"/>
      <c r="D91" s="52"/>
      <c r="E91" s="52"/>
      <c r="F91" s="52"/>
      <c r="G91" s="52"/>
      <c r="H91" s="52"/>
      <c r="I91" s="52"/>
      <c r="J91" s="52"/>
      <c r="K91" s="52"/>
    </row>
    <row r="92" ht="12.75" customHeight="1">
      <c r="A92" s="52"/>
      <c r="B92" s="52"/>
      <c r="C92" s="52"/>
      <c r="D92" s="52"/>
      <c r="E92" s="52"/>
      <c r="F92" s="52"/>
      <c r="G92" s="52"/>
      <c r="H92" s="52"/>
      <c r="I92" s="52"/>
      <c r="J92" s="52"/>
      <c r="K92" s="52"/>
    </row>
    <row r="93" ht="12.75" customHeight="1">
      <c r="A93" s="52"/>
      <c r="B93" s="52"/>
      <c r="C93" s="52"/>
      <c r="D93" s="52"/>
      <c r="E93" s="52"/>
      <c r="F93" s="52"/>
      <c r="G93" s="52"/>
      <c r="H93" s="52"/>
      <c r="I93" s="52"/>
      <c r="J93" s="52"/>
      <c r="K93" s="52"/>
    </row>
    <row r="94" ht="12.75" customHeight="1">
      <c r="A94" s="52"/>
      <c r="B94" s="52"/>
      <c r="C94" s="52"/>
      <c r="D94" s="52"/>
      <c r="E94" s="52"/>
      <c r="F94" s="52"/>
      <c r="G94" s="52"/>
      <c r="H94" s="52"/>
      <c r="I94" s="52"/>
      <c r="J94" s="52"/>
      <c r="K94" s="52"/>
    </row>
    <row r="95" ht="12.75" customHeight="1">
      <c r="A95" s="52"/>
      <c r="B95" s="52"/>
      <c r="C95" s="52"/>
      <c r="D95" s="52"/>
      <c r="E95" s="52"/>
      <c r="F95" s="52"/>
      <c r="G95" s="52"/>
      <c r="H95" s="52"/>
      <c r="I95" s="52"/>
      <c r="J95" s="52"/>
      <c r="K95" s="52"/>
    </row>
    <row r="96" ht="12.75" customHeight="1">
      <c r="A96" s="52"/>
      <c r="B96" s="52"/>
      <c r="C96" s="52"/>
      <c r="D96" s="52"/>
      <c r="E96" s="52"/>
      <c r="F96" s="52"/>
      <c r="G96" s="52"/>
      <c r="H96" s="52"/>
      <c r="I96" s="52"/>
      <c r="J96" s="52"/>
      <c r="K96" s="52"/>
    </row>
    <row r="97" ht="12.75" customHeight="1">
      <c r="A97" s="52"/>
      <c r="B97" s="52"/>
      <c r="C97" s="52"/>
      <c r="D97" s="52"/>
      <c r="E97" s="52"/>
      <c r="F97" s="52"/>
      <c r="G97" s="52"/>
      <c r="H97" s="52"/>
      <c r="I97" s="52"/>
      <c r="J97" s="52"/>
      <c r="K97" s="52"/>
    </row>
    <row r="98" ht="12.75" customHeight="1">
      <c r="A98" s="52"/>
      <c r="B98" s="52"/>
      <c r="C98" s="52"/>
      <c r="D98" s="52"/>
      <c r="E98" s="52"/>
      <c r="F98" s="52"/>
      <c r="G98" s="52"/>
      <c r="H98" s="52"/>
      <c r="I98" s="52"/>
      <c r="J98" s="52"/>
      <c r="K98" s="52"/>
    </row>
    <row r="99" ht="12.75" customHeight="1">
      <c r="A99" s="52"/>
      <c r="B99" s="52"/>
      <c r="C99" s="52"/>
      <c r="D99" s="52"/>
      <c r="E99" s="52"/>
      <c r="F99" s="52"/>
      <c r="G99" s="52"/>
      <c r="H99" s="52"/>
      <c r="I99" s="52"/>
      <c r="J99" s="52"/>
      <c r="K99" s="52"/>
    </row>
    <row r="100" ht="12.75" customHeight="1">
      <c r="A100" s="52"/>
      <c r="B100" s="52"/>
      <c r="C100" s="52"/>
      <c r="D100" s="52"/>
      <c r="E100" s="52"/>
      <c r="F100" s="52"/>
      <c r="G100" s="52"/>
      <c r="H100" s="52"/>
      <c r="I100" s="52"/>
      <c r="J100" s="52"/>
      <c r="K100" s="5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19.5"/>
    <col customWidth="1" min="2" max="2" width="14.75"/>
    <col customWidth="1" min="3" max="3" width="8.88"/>
    <col customWidth="1" min="4" max="4" width="9.63"/>
    <col customWidth="1" min="5" max="12" width="9.88"/>
    <col customWidth="1" min="13" max="15" width="10.88"/>
    <col customWidth="1" min="16" max="24" width="9.88"/>
    <col customWidth="1" min="25" max="27" width="10.88"/>
    <col customWidth="1" min="28" max="36" width="9.88"/>
    <col customWidth="1" min="37" max="39" width="10.88"/>
    <col customWidth="1" min="40" max="48" width="9.88"/>
    <col customWidth="1" min="49" max="51" width="10.88"/>
    <col customWidth="1" min="52" max="60" width="9.88"/>
    <col customWidth="1" min="61" max="63" width="10.88"/>
    <col customWidth="1" min="64" max="64" width="9.88"/>
  </cols>
  <sheetData>
    <row r="1" ht="14.25" customHeight="1">
      <c r="A1" s="2" t="s">
        <v>121</v>
      </c>
      <c r="B1" s="75">
        <v>44197.0</v>
      </c>
    </row>
    <row r="2" ht="14.25" customHeight="1">
      <c r="D2" s="76">
        <f>B1</f>
        <v>44197</v>
      </c>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row>
    <row r="3" ht="14.25" customHeight="1">
      <c r="D3" s="78">
        <v>0.0</v>
      </c>
      <c r="E3" s="78">
        <v>1.0</v>
      </c>
      <c r="F3" s="78">
        <v>2.0</v>
      </c>
      <c r="G3" s="78">
        <v>3.0</v>
      </c>
      <c r="H3" s="78">
        <v>4.0</v>
      </c>
      <c r="I3" s="78">
        <v>5.0</v>
      </c>
      <c r="J3" s="78">
        <v>6.0</v>
      </c>
      <c r="K3" s="78">
        <v>7.0</v>
      </c>
      <c r="L3" s="78">
        <v>8.0</v>
      </c>
      <c r="M3" s="78">
        <v>9.0</v>
      </c>
      <c r="N3" s="78">
        <v>10.0</v>
      </c>
      <c r="O3" s="78">
        <v>11.0</v>
      </c>
      <c r="P3" s="78">
        <v>12.0</v>
      </c>
      <c r="Q3" s="78">
        <v>13.0</v>
      </c>
      <c r="R3" s="78">
        <v>14.0</v>
      </c>
      <c r="S3" s="78">
        <v>15.0</v>
      </c>
      <c r="T3" s="78">
        <v>16.0</v>
      </c>
      <c r="U3" s="78">
        <v>17.0</v>
      </c>
      <c r="V3" s="78">
        <v>18.0</v>
      </c>
      <c r="W3" s="78">
        <v>19.0</v>
      </c>
      <c r="X3" s="78">
        <v>20.0</v>
      </c>
      <c r="Y3" s="78">
        <v>21.0</v>
      </c>
      <c r="Z3" s="78">
        <v>22.0</v>
      </c>
      <c r="AA3" s="78">
        <v>23.0</v>
      </c>
      <c r="AB3" s="78">
        <v>24.0</v>
      </c>
      <c r="AC3" s="78">
        <v>25.0</v>
      </c>
      <c r="AD3" s="78">
        <v>26.0</v>
      </c>
      <c r="AE3" s="78">
        <v>27.0</v>
      </c>
      <c r="AF3" s="78">
        <v>28.0</v>
      </c>
      <c r="AG3" s="78">
        <v>29.0</v>
      </c>
      <c r="AH3" s="78">
        <v>30.0</v>
      </c>
      <c r="AI3" s="78">
        <v>31.0</v>
      </c>
      <c r="AJ3" s="78">
        <v>32.0</v>
      </c>
      <c r="AK3" s="78">
        <v>33.0</v>
      </c>
      <c r="AL3" s="78">
        <v>34.0</v>
      </c>
      <c r="AM3" s="78">
        <v>35.0</v>
      </c>
      <c r="AN3" s="78">
        <v>36.0</v>
      </c>
      <c r="AO3" s="78">
        <v>37.0</v>
      </c>
      <c r="AP3" s="78">
        <v>38.0</v>
      </c>
      <c r="AQ3" s="78">
        <v>39.0</v>
      </c>
      <c r="AR3" s="78">
        <v>40.0</v>
      </c>
      <c r="AS3" s="78">
        <v>41.0</v>
      </c>
      <c r="AT3" s="78">
        <v>42.0</v>
      </c>
      <c r="AU3" s="78">
        <v>43.0</v>
      </c>
      <c r="AV3" s="78">
        <v>44.0</v>
      </c>
      <c r="AW3" s="78">
        <v>45.0</v>
      </c>
      <c r="AX3" s="78">
        <v>46.0</v>
      </c>
      <c r="AY3" s="78">
        <v>47.0</v>
      </c>
      <c r="AZ3" s="78">
        <v>48.0</v>
      </c>
      <c r="BA3" s="78">
        <v>49.0</v>
      </c>
      <c r="BB3" s="78">
        <v>50.0</v>
      </c>
      <c r="BC3" s="78">
        <v>51.0</v>
      </c>
      <c r="BD3" s="78">
        <v>52.0</v>
      </c>
      <c r="BE3" s="78">
        <v>53.0</v>
      </c>
      <c r="BF3" s="78">
        <v>54.0</v>
      </c>
      <c r="BG3" s="78">
        <v>55.0</v>
      </c>
      <c r="BH3" s="78">
        <v>56.0</v>
      </c>
      <c r="BI3" s="78">
        <v>57.0</v>
      </c>
      <c r="BJ3" s="78">
        <v>58.0</v>
      </c>
      <c r="BK3" s="78">
        <v>59.0</v>
      </c>
      <c r="BL3" s="78">
        <v>60.0</v>
      </c>
    </row>
    <row r="4" ht="14.25" customHeight="1">
      <c r="A4" s="2" t="s">
        <v>122</v>
      </c>
    </row>
    <row r="5" ht="14.25" customHeight="1">
      <c r="A5" s="79" t="s">
        <v>123</v>
      </c>
    </row>
    <row r="6" ht="14.25" customHeight="1">
      <c r="A6" s="80" t="s">
        <v>124</v>
      </c>
      <c r="B6" s="3" t="s">
        <v>125</v>
      </c>
      <c r="E6" s="3">
        <v>10000.0</v>
      </c>
      <c r="F6" s="3">
        <v>10000.0</v>
      </c>
      <c r="G6" s="3">
        <v>10000.0</v>
      </c>
      <c r="H6" s="3">
        <v>10000.0</v>
      </c>
      <c r="I6" s="3">
        <v>10000.0</v>
      </c>
      <c r="J6" s="3">
        <v>10000.0</v>
      </c>
      <c r="K6" s="3">
        <v>10000.0</v>
      </c>
      <c r="L6" s="3">
        <v>10000.0</v>
      </c>
      <c r="M6" s="3">
        <v>10000.0</v>
      </c>
      <c r="N6" s="3">
        <v>10000.0</v>
      </c>
      <c r="O6" s="3">
        <v>10000.0</v>
      </c>
      <c r="P6" s="3">
        <v>10000.0</v>
      </c>
      <c r="Q6" s="3">
        <v>10000.0</v>
      </c>
      <c r="R6" s="3">
        <v>10000.0</v>
      </c>
      <c r="S6" s="3">
        <v>10000.0</v>
      </c>
      <c r="T6" s="3">
        <v>10000.0</v>
      </c>
      <c r="U6" s="3">
        <v>10000.0</v>
      </c>
      <c r="V6" s="3">
        <v>10000.0</v>
      </c>
      <c r="W6" s="3">
        <v>10000.0</v>
      </c>
      <c r="X6" s="3">
        <v>10000.0</v>
      </c>
      <c r="Y6" s="3">
        <v>10000.0</v>
      </c>
      <c r="Z6" s="3">
        <v>10000.0</v>
      </c>
      <c r="AA6" s="3">
        <v>10000.0</v>
      </c>
      <c r="AB6" s="3">
        <v>10000.0</v>
      </c>
      <c r="AC6" s="3">
        <v>10000.0</v>
      </c>
      <c r="AD6" s="3">
        <v>10000.0</v>
      </c>
      <c r="AE6" s="3">
        <v>10000.0</v>
      </c>
      <c r="AF6" s="3">
        <v>10000.0</v>
      </c>
      <c r="AG6" s="3">
        <v>10000.0</v>
      </c>
      <c r="AH6" s="3">
        <v>10000.0</v>
      </c>
      <c r="AI6" s="3">
        <v>10000.0</v>
      </c>
      <c r="AJ6" s="3">
        <v>10000.0</v>
      </c>
      <c r="AK6" s="3">
        <v>10000.0</v>
      </c>
      <c r="AL6" s="3">
        <v>10000.0</v>
      </c>
      <c r="AM6" s="3">
        <v>10000.0</v>
      </c>
      <c r="AN6" s="3">
        <v>10000.0</v>
      </c>
      <c r="AO6" s="3">
        <v>10000.0</v>
      </c>
      <c r="AP6" s="3">
        <v>10000.0</v>
      </c>
      <c r="AQ6" s="3">
        <v>10000.0</v>
      </c>
      <c r="AR6" s="3">
        <v>10000.0</v>
      </c>
      <c r="AS6" s="3">
        <v>10000.0</v>
      </c>
      <c r="AT6" s="3">
        <v>10000.0</v>
      </c>
      <c r="AU6" s="3">
        <v>10000.0</v>
      </c>
      <c r="AV6" s="3">
        <v>10000.0</v>
      </c>
      <c r="AW6" s="3">
        <v>10000.0</v>
      </c>
      <c r="AX6" s="3">
        <v>10000.0</v>
      </c>
      <c r="AY6" s="3">
        <v>10000.0</v>
      </c>
      <c r="AZ6" s="3">
        <v>10000.0</v>
      </c>
      <c r="BA6" s="3">
        <v>10000.0</v>
      </c>
      <c r="BB6" s="3">
        <v>10000.0</v>
      </c>
      <c r="BC6" s="3">
        <v>10000.0</v>
      </c>
      <c r="BD6" s="3">
        <v>10000.0</v>
      </c>
      <c r="BE6" s="3">
        <v>10000.0</v>
      </c>
      <c r="BF6" s="3">
        <v>10000.0</v>
      </c>
      <c r="BG6" s="3">
        <v>10000.0</v>
      </c>
      <c r="BH6" s="3">
        <v>10000.0</v>
      </c>
      <c r="BI6" s="3">
        <v>10000.0</v>
      </c>
      <c r="BJ6" s="3">
        <v>10000.0</v>
      </c>
      <c r="BK6" s="3">
        <v>10000.0</v>
      </c>
      <c r="BL6" s="3">
        <v>10000.0</v>
      </c>
    </row>
    <row r="7" ht="14.25" customHeight="1">
      <c r="A7" s="6"/>
      <c r="B7" s="3" t="s">
        <v>126</v>
      </c>
      <c r="D7" s="3">
        <v>12.15</v>
      </c>
      <c r="E7" s="81">
        <f t="shared" ref="E7:P7" si="1">$D$7*(1+0.03)</f>
        <v>12.5145</v>
      </c>
      <c r="F7" s="81">
        <f t="shared" si="1"/>
        <v>12.5145</v>
      </c>
      <c r="G7" s="81">
        <f t="shared" si="1"/>
        <v>12.5145</v>
      </c>
      <c r="H7" s="81">
        <f t="shared" si="1"/>
        <v>12.5145</v>
      </c>
      <c r="I7" s="81">
        <f t="shared" si="1"/>
        <v>12.5145</v>
      </c>
      <c r="J7" s="81">
        <f t="shared" si="1"/>
        <v>12.5145</v>
      </c>
      <c r="K7" s="81">
        <f t="shared" si="1"/>
        <v>12.5145</v>
      </c>
      <c r="L7" s="81">
        <f t="shared" si="1"/>
        <v>12.5145</v>
      </c>
      <c r="M7" s="81">
        <f t="shared" si="1"/>
        <v>12.5145</v>
      </c>
      <c r="N7" s="81">
        <f t="shared" si="1"/>
        <v>12.5145</v>
      </c>
      <c r="O7" s="81">
        <f t="shared" si="1"/>
        <v>12.5145</v>
      </c>
      <c r="P7" s="81">
        <f t="shared" si="1"/>
        <v>12.5145</v>
      </c>
      <c r="Q7" s="82">
        <f t="shared" ref="Q7:AB7" si="2">$P$7*(1+0.03)</f>
        <v>12.889935</v>
      </c>
      <c r="R7" s="82">
        <f t="shared" si="2"/>
        <v>12.889935</v>
      </c>
      <c r="S7" s="82">
        <f t="shared" si="2"/>
        <v>12.889935</v>
      </c>
      <c r="T7" s="82">
        <f t="shared" si="2"/>
        <v>12.889935</v>
      </c>
      <c r="U7" s="82">
        <f t="shared" si="2"/>
        <v>12.889935</v>
      </c>
      <c r="V7" s="82">
        <f t="shared" si="2"/>
        <v>12.889935</v>
      </c>
      <c r="W7" s="82">
        <f t="shared" si="2"/>
        <v>12.889935</v>
      </c>
      <c r="X7" s="82">
        <f t="shared" si="2"/>
        <v>12.889935</v>
      </c>
      <c r="Y7" s="82">
        <f t="shared" si="2"/>
        <v>12.889935</v>
      </c>
      <c r="Z7" s="82">
        <f t="shared" si="2"/>
        <v>12.889935</v>
      </c>
      <c r="AA7" s="82">
        <f t="shared" si="2"/>
        <v>12.889935</v>
      </c>
      <c r="AB7" s="82">
        <f t="shared" si="2"/>
        <v>12.889935</v>
      </c>
      <c r="AC7" s="82">
        <f t="shared" ref="AC7:AN7" si="3">$AB$7*(1+0.03)</f>
        <v>13.27663305</v>
      </c>
      <c r="AD7" s="82">
        <f t="shared" si="3"/>
        <v>13.27663305</v>
      </c>
      <c r="AE7" s="82">
        <f t="shared" si="3"/>
        <v>13.27663305</v>
      </c>
      <c r="AF7" s="82">
        <f t="shared" si="3"/>
        <v>13.27663305</v>
      </c>
      <c r="AG7" s="82">
        <f t="shared" si="3"/>
        <v>13.27663305</v>
      </c>
      <c r="AH7" s="82">
        <f t="shared" si="3"/>
        <v>13.27663305</v>
      </c>
      <c r="AI7" s="82">
        <f t="shared" si="3"/>
        <v>13.27663305</v>
      </c>
      <c r="AJ7" s="82">
        <f t="shared" si="3"/>
        <v>13.27663305</v>
      </c>
      <c r="AK7" s="82">
        <f t="shared" si="3"/>
        <v>13.27663305</v>
      </c>
      <c r="AL7" s="82">
        <f t="shared" si="3"/>
        <v>13.27663305</v>
      </c>
      <c r="AM7" s="82">
        <f t="shared" si="3"/>
        <v>13.27663305</v>
      </c>
      <c r="AN7" s="82">
        <f t="shared" si="3"/>
        <v>13.27663305</v>
      </c>
      <c r="AO7" s="82">
        <f t="shared" ref="AO7:AZ7" si="4">$AN$7*(1+0.03)</f>
        <v>13.67493204</v>
      </c>
      <c r="AP7" s="82">
        <f t="shared" si="4"/>
        <v>13.67493204</v>
      </c>
      <c r="AQ7" s="82">
        <f t="shared" si="4"/>
        <v>13.67493204</v>
      </c>
      <c r="AR7" s="82">
        <f t="shared" si="4"/>
        <v>13.67493204</v>
      </c>
      <c r="AS7" s="82">
        <f t="shared" si="4"/>
        <v>13.67493204</v>
      </c>
      <c r="AT7" s="82">
        <f t="shared" si="4"/>
        <v>13.67493204</v>
      </c>
      <c r="AU7" s="82">
        <f t="shared" si="4"/>
        <v>13.67493204</v>
      </c>
      <c r="AV7" s="82">
        <f t="shared" si="4"/>
        <v>13.67493204</v>
      </c>
      <c r="AW7" s="82">
        <f t="shared" si="4"/>
        <v>13.67493204</v>
      </c>
      <c r="AX7" s="82">
        <f t="shared" si="4"/>
        <v>13.67493204</v>
      </c>
      <c r="AY7" s="82">
        <f t="shared" si="4"/>
        <v>13.67493204</v>
      </c>
      <c r="AZ7" s="82">
        <f t="shared" si="4"/>
        <v>13.67493204</v>
      </c>
      <c r="BA7" s="82">
        <f t="shared" ref="BA7:BL7" si="5">$AZ$7*(1+0.03)</f>
        <v>14.08518</v>
      </c>
      <c r="BB7" s="82">
        <f t="shared" si="5"/>
        <v>14.08518</v>
      </c>
      <c r="BC7" s="82">
        <f t="shared" si="5"/>
        <v>14.08518</v>
      </c>
      <c r="BD7" s="82">
        <f t="shared" si="5"/>
        <v>14.08518</v>
      </c>
      <c r="BE7" s="82">
        <f t="shared" si="5"/>
        <v>14.08518</v>
      </c>
      <c r="BF7" s="82">
        <f t="shared" si="5"/>
        <v>14.08518</v>
      </c>
      <c r="BG7" s="82">
        <f t="shared" si="5"/>
        <v>14.08518</v>
      </c>
      <c r="BH7" s="82">
        <f t="shared" si="5"/>
        <v>14.08518</v>
      </c>
      <c r="BI7" s="82">
        <f t="shared" si="5"/>
        <v>14.08518</v>
      </c>
      <c r="BJ7" s="82">
        <f t="shared" si="5"/>
        <v>14.08518</v>
      </c>
      <c r="BK7" s="82">
        <f t="shared" si="5"/>
        <v>14.08518</v>
      </c>
      <c r="BL7" s="82">
        <f t="shared" si="5"/>
        <v>14.08518</v>
      </c>
    </row>
    <row r="8" ht="14.25" customHeight="1">
      <c r="A8" s="83"/>
      <c r="B8" s="84" t="s">
        <v>127</v>
      </c>
      <c r="C8" s="85"/>
      <c r="D8" s="85"/>
      <c r="E8" s="86">
        <f t="shared" ref="E8:BL8" si="6">(E6*E7)/12</f>
        <v>10428.75</v>
      </c>
      <c r="F8" s="86">
        <f t="shared" si="6"/>
        <v>10428.75</v>
      </c>
      <c r="G8" s="86">
        <f t="shared" si="6"/>
        <v>10428.75</v>
      </c>
      <c r="H8" s="86">
        <f t="shared" si="6"/>
        <v>10428.75</v>
      </c>
      <c r="I8" s="86">
        <f t="shared" si="6"/>
        <v>10428.75</v>
      </c>
      <c r="J8" s="86">
        <f t="shared" si="6"/>
        <v>10428.75</v>
      </c>
      <c r="K8" s="86">
        <f t="shared" si="6"/>
        <v>10428.75</v>
      </c>
      <c r="L8" s="86">
        <f t="shared" si="6"/>
        <v>10428.75</v>
      </c>
      <c r="M8" s="86">
        <f t="shared" si="6"/>
        <v>10428.75</v>
      </c>
      <c r="N8" s="86">
        <f t="shared" si="6"/>
        <v>10428.75</v>
      </c>
      <c r="O8" s="86">
        <f t="shared" si="6"/>
        <v>10428.75</v>
      </c>
      <c r="P8" s="86">
        <f t="shared" si="6"/>
        <v>10428.75</v>
      </c>
      <c r="Q8" s="86">
        <f t="shared" si="6"/>
        <v>10741.6125</v>
      </c>
      <c r="R8" s="86">
        <f t="shared" si="6"/>
        <v>10741.6125</v>
      </c>
      <c r="S8" s="86">
        <f t="shared" si="6"/>
        <v>10741.6125</v>
      </c>
      <c r="T8" s="86">
        <f t="shared" si="6"/>
        <v>10741.6125</v>
      </c>
      <c r="U8" s="86">
        <f t="shared" si="6"/>
        <v>10741.6125</v>
      </c>
      <c r="V8" s="86">
        <f t="shared" si="6"/>
        <v>10741.6125</v>
      </c>
      <c r="W8" s="86">
        <f t="shared" si="6"/>
        <v>10741.6125</v>
      </c>
      <c r="X8" s="86">
        <f t="shared" si="6"/>
        <v>10741.6125</v>
      </c>
      <c r="Y8" s="86">
        <f t="shared" si="6"/>
        <v>10741.6125</v>
      </c>
      <c r="Z8" s="86">
        <f t="shared" si="6"/>
        <v>10741.6125</v>
      </c>
      <c r="AA8" s="86">
        <f t="shared" si="6"/>
        <v>10741.6125</v>
      </c>
      <c r="AB8" s="86">
        <f t="shared" si="6"/>
        <v>10741.6125</v>
      </c>
      <c r="AC8" s="86">
        <f t="shared" si="6"/>
        <v>11063.86088</v>
      </c>
      <c r="AD8" s="86">
        <f t="shared" si="6"/>
        <v>11063.86088</v>
      </c>
      <c r="AE8" s="86">
        <f t="shared" si="6"/>
        <v>11063.86088</v>
      </c>
      <c r="AF8" s="86">
        <f t="shared" si="6"/>
        <v>11063.86088</v>
      </c>
      <c r="AG8" s="86">
        <f t="shared" si="6"/>
        <v>11063.86088</v>
      </c>
      <c r="AH8" s="86">
        <f t="shared" si="6"/>
        <v>11063.86088</v>
      </c>
      <c r="AI8" s="86">
        <f t="shared" si="6"/>
        <v>11063.86088</v>
      </c>
      <c r="AJ8" s="86">
        <f t="shared" si="6"/>
        <v>11063.86088</v>
      </c>
      <c r="AK8" s="86">
        <f t="shared" si="6"/>
        <v>11063.86088</v>
      </c>
      <c r="AL8" s="86">
        <f t="shared" si="6"/>
        <v>11063.86088</v>
      </c>
      <c r="AM8" s="86">
        <f t="shared" si="6"/>
        <v>11063.86088</v>
      </c>
      <c r="AN8" s="86">
        <f t="shared" si="6"/>
        <v>11063.86088</v>
      </c>
      <c r="AO8" s="86">
        <f t="shared" si="6"/>
        <v>11395.7767</v>
      </c>
      <c r="AP8" s="86">
        <f t="shared" si="6"/>
        <v>11395.7767</v>
      </c>
      <c r="AQ8" s="86">
        <f t="shared" si="6"/>
        <v>11395.7767</v>
      </c>
      <c r="AR8" s="86">
        <f t="shared" si="6"/>
        <v>11395.7767</v>
      </c>
      <c r="AS8" s="86">
        <f t="shared" si="6"/>
        <v>11395.7767</v>
      </c>
      <c r="AT8" s="86">
        <f t="shared" si="6"/>
        <v>11395.7767</v>
      </c>
      <c r="AU8" s="86">
        <f t="shared" si="6"/>
        <v>11395.7767</v>
      </c>
      <c r="AV8" s="86">
        <f t="shared" si="6"/>
        <v>11395.7767</v>
      </c>
      <c r="AW8" s="86">
        <f t="shared" si="6"/>
        <v>11395.7767</v>
      </c>
      <c r="AX8" s="86">
        <f t="shared" si="6"/>
        <v>11395.7767</v>
      </c>
      <c r="AY8" s="86">
        <f t="shared" si="6"/>
        <v>11395.7767</v>
      </c>
      <c r="AZ8" s="86">
        <f t="shared" si="6"/>
        <v>11395.7767</v>
      </c>
      <c r="BA8" s="86">
        <f t="shared" si="6"/>
        <v>11737.65</v>
      </c>
      <c r="BB8" s="86">
        <f t="shared" si="6"/>
        <v>11737.65</v>
      </c>
      <c r="BC8" s="86">
        <f t="shared" si="6"/>
        <v>11737.65</v>
      </c>
      <c r="BD8" s="86">
        <f t="shared" si="6"/>
        <v>11737.65</v>
      </c>
      <c r="BE8" s="86">
        <f t="shared" si="6"/>
        <v>11737.65</v>
      </c>
      <c r="BF8" s="86">
        <f t="shared" si="6"/>
        <v>11737.65</v>
      </c>
      <c r="BG8" s="86">
        <f t="shared" si="6"/>
        <v>11737.65</v>
      </c>
      <c r="BH8" s="86">
        <f t="shared" si="6"/>
        <v>11737.65</v>
      </c>
      <c r="BI8" s="86">
        <f t="shared" si="6"/>
        <v>11737.65</v>
      </c>
      <c r="BJ8" s="86">
        <f t="shared" si="6"/>
        <v>11737.65</v>
      </c>
      <c r="BK8" s="86">
        <f t="shared" si="6"/>
        <v>11737.65</v>
      </c>
      <c r="BL8" s="86">
        <f t="shared" si="6"/>
        <v>11737.65</v>
      </c>
    </row>
    <row r="9" ht="14.25" customHeight="1">
      <c r="A9" s="80" t="s">
        <v>128</v>
      </c>
      <c r="B9" s="3" t="s">
        <v>125</v>
      </c>
      <c r="E9" s="3">
        <v>10000.0</v>
      </c>
      <c r="F9" s="3">
        <v>10000.0</v>
      </c>
      <c r="G9" s="3">
        <v>10000.0</v>
      </c>
      <c r="H9" s="3">
        <v>10000.0</v>
      </c>
      <c r="I9" s="3">
        <v>10000.0</v>
      </c>
      <c r="J9" s="3">
        <v>10000.0</v>
      </c>
      <c r="K9" s="3">
        <v>10000.0</v>
      </c>
      <c r="L9" s="3">
        <v>10000.0</v>
      </c>
      <c r="M9" s="3">
        <v>10000.0</v>
      </c>
      <c r="N9" s="3">
        <v>10000.0</v>
      </c>
      <c r="O9" s="3">
        <v>10000.0</v>
      </c>
      <c r="P9" s="3">
        <v>10000.0</v>
      </c>
      <c r="Q9" s="3">
        <v>10000.0</v>
      </c>
      <c r="R9" s="3">
        <v>10000.0</v>
      </c>
      <c r="S9" s="3">
        <v>10000.0</v>
      </c>
      <c r="T9" s="3">
        <v>10000.0</v>
      </c>
      <c r="U9" s="3">
        <v>10000.0</v>
      </c>
      <c r="V9" s="3">
        <v>10000.0</v>
      </c>
      <c r="W9" s="3">
        <v>10000.0</v>
      </c>
      <c r="X9" s="3">
        <v>10000.0</v>
      </c>
      <c r="Y9" s="3">
        <v>10000.0</v>
      </c>
      <c r="Z9" s="3">
        <v>10000.0</v>
      </c>
      <c r="AA9" s="3">
        <v>10000.0</v>
      </c>
      <c r="AB9" s="3">
        <v>10000.0</v>
      </c>
      <c r="AC9" s="3">
        <v>10000.0</v>
      </c>
      <c r="AD9" s="3">
        <v>10000.0</v>
      </c>
      <c r="AE9" s="3">
        <v>10000.0</v>
      </c>
      <c r="AF9" s="3">
        <v>10000.0</v>
      </c>
      <c r="AG9" s="3">
        <v>10000.0</v>
      </c>
      <c r="AH9" s="3">
        <v>10000.0</v>
      </c>
      <c r="AI9" s="3">
        <v>10000.0</v>
      </c>
      <c r="AJ9" s="3">
        <v>10000.0</v>
      </c>
      <c r="AK9" s="3">
        <v>10000.0</v>
      </c>
      <c r="AL9" s="3">
        <v>10000.0</v>
      </c>
      <c r="AM9" s="3">
        <v>10000.0</v>
      </c>
      <c r="AN9" s="3">
        <v>10000.0</v>
      </c>
      <c r="AO9" s="3">
        <v>10000.0</v>
      </c>
      <c r="AP9" s="3">
        <v>10000.0</v>
      </c>
      <c r="AQ9" s="3">
        <v>10000.0</v>
      </c>
      <c r="AR9" s="3">
        <v>10000.0</v>
      </c>
      <c r="AS9" s="3">
        <v>10000.0</v>
      </c>
      <c r="AT9" s="3">
        <v>10000.0</v>
      </c>
      <c r="AU9" s="3">
        <v>10000.0</v>
      </c>
      <c r="AV9" s="3">
        <v>10000.0</v>
      </c>
      <c r="AW9" s="3">
        <v>10000.0</v>
      </c>
      <c r="AX9" s="3">
        <v>10000.0</v>
      </c>
      <c r="AY9" s="3">
        <v>10000.0</v>
      </c>
      <c r="AZ9" s="3">
        <v>10000.0</v>
      </c>
      <c r="BA9" s="3">
        <v>10000.0</v>
      </c>
      <c r="BB9" s="3">
        <v>10000.0</v>
      </c>
      <c r="BC9" s="3">
        <v>10000.0</v>
      </c>
      <c r="BD9" s="3">
        <v>10000.0</v>
      </c>
      <c r="BE9" s="3">
        <v>10000.0</v>
      </c>
      <c r="BF9" s="3">
        <v>10000.0</v>
      </c>
      <c r="BG9" s="3">
        <v>10000.0</v>
      </c>
      <c r="BH9" s="3">
        <v>10000.0</v>
      </c>
      <c r="BI9" s="3">
        <v>10000.0</v>
      </c>
      <c r="BJ9" s="3">
        <v>10000.0</v>
      </c>
      <c r="BK9" s="3">
        <v>10000.0</v>
      </c>
      <c r="BL9" s="3">
        <v>10000.0</v>
      </c>
    </row>
    <row r="10" ht="14.25" customHeight="1">
      <c r="A10" s="6"/>
      <c r="B10" s="3" t="s">
        <v>126</v>
      </c>
      <c r="D10" s="3">
        <v>11.5</v>
      </c>
      <c r="E10" s="82">
        <f t="shared" ref="E10:P10" si="7">$D$10*(1+0.03)</f>
        <v>11.845</v>
      </c>
      <c r="F10" s="82">
        <f t="shared" si="7"/>
        <v>11.845</v>
      </c>
      <c r="G10" s="82">
        <f t="shared" si="7"/>
        <v>11.845</v>
      </c>
      <c r="H10" s="82">
        <f t="shared" si="7"/>
        <v>11.845</v>
      </c>
      <c r="I10" s="82">
        <f t="shared" si="7"/>
        <v>11.845</v>
      </c>
      <c r="J10" s="82">
        <f t="shared" si="7"/>
        <v>11.845</v>
      </c>
      <c r="K10" s="82">
        <f t="shared" si="7"/>
        <v>11.845</v>
      </c>
      <c r="L10" s="82">
        <f t="shared" si="7"/>
        <v>11.845</v>
      </c>
      <c r="M10" s="82">
        <f t="shared" si="7"/>
        <v>11.845</v>
      </c>
      <c r="N10" s="82">
        <f t="shared" si="7"/>
        <v>11.845</v>
      </c>
      <c r="O10" s="82">
        <f t="shared" si="7"/>
        <v>11.845</v>
      </c>
      <c r="P10" s="82">
        <f t="shared" si="7"/>
        <v>11.845</v>
      </c>
      <c r="Q10" s="82">
        <f t="shared" ref="Q10:AB10" si="8">$P$10*(1+0.03)</f>
        <v>12.20035</v>
      </c>
      <c r="R10" s="82">
        <f t="shared" si="8"/>
        <v>12.20035</v>
      </c>
      <c r="S10" s="82">
        <f t="shared" si="8"/>
        <v>12.20035</v>
      </c>
      <c r="T10" s="82">
        <f t="shared" si="8"/>
        <v>12.20035</v>
      </c>
      <c r="U10" s="82">
        <f t="shared" si="8"/>
        <v>12.20035</v>
      </c>
      <c r="V10" s="82">
        <f t="shared" si="8"/>
        <v>12.20035</v>
      </c>
      <c r="W10" s="82">
        <f t="shared" si="8"/>
        <v>12.20035</v>
      </c>
      <c r="X10" s="82">
        <f t="shared" si="8"/>
        <v>12.20035</v>
      </c>
      <c r="Y10" s="82">
        <f t="shared" si="8"/>
        <v>12.20035</v>
      </c>
      <c r="Z10" s="82">
        <f t="shared" si="8"/>
        <v>12.20035</v>
      </c>
      <c r="AA10" s="82">
        <f t="shared" si="8"/>
        <v>12.20035</v>
      </c>
      <c r="AB10" s="82">
        <f t="shared" si="8"/>
        <v>12.20035</v>
      </c>
      <c r="AC10" s="82">
        <f t="shared" ref="AC10:AN10" si="9">$AB$10*(1+0.03)</f>
        <v>12.5663605</v>
      </c>
      <c r="AD10" s="82">
        <f t="shared" si="9"/>
        <v>12.5663605</v>
      </c>
      <c r="AE10" s="82">
        <f t="shared" si="9"/>
        <v>12.5663605</v>
      </c>
      <c r="AF10" s="82">
        <f t="shared" si="9"/>
        <v>12.5663605</v>
      </c>
      <c r="AG10" s="82">
        <f t="shared" si="9"/>
        <v>12.5663605</v>
      </c>
      <c r="AH10" s="82">
        <f t="shared" si="9"/>
        <v>12.5663605</v>
      </c>
      <c r="AI10" s="82">
        <f t="shared" si="9"/>
        <v>12.5663605</v>
      </c>
      <c r="AJ10" s="82">
        <f t="shared" si="9"/>
        <v>12.5663605</v>
      </c>
      <c r="AK10" s="82">
        <f t="shared" si="9"/>
        <v>12.5663605</v>
      </c>
      <c r="AL10" s="82">
        <f t="shared" si="9"/>
        <v>12.5663605</v>
      </c>
      <c r="AM10" s="82">
        <f t="shared" si="9"/>
        <v>12.5663605</v>
      </c>
      <c r="AN10" s="82">
        <f t="shared" si="9"/>
        <v>12.5663605</v>
      </c>
      <c r="AO10" s="82">
        <f t="shared" ref="AO10:AZ10" si="10">$AN$10*(1+0.03)</f>
        <v>12.94335132</v>
      </c>
      <c r="AP10" s="82">
        <f t="shared" si="10"/>
        <v>12.94335132</v>
      </c>
      <c r="AQ10" s="82">
        <f t="shared" si="10"/>
        <v>12.94335132</v>
      </c>
      <c r="AR10" s="82">
        <f t="shared" si="10"/>
        <v>12.94335132</v>
      </c>
      <c r="AS10" s="82">
        <f t="shared" si="10"/>
        <v>12.94335132</v>
      </c>
      <c r="AT10" s="82">
        <f t="shared" si="10"/>
        <v>12.94335132</v>
      </c>
      <c r="AU10" s="82">
        <f t="shared" si="10"/>
        <v>12.94335132</v>
      </c>
      <c r="AV10" s="82">
        <f t="shared" si="10"/>
        <v>12.94335132</v>
      </c>
      <c r="AW10" s="82">
        <f t="shared" si="10"/>
        <v>12.94335132</v>
      </c>
      <c r="AX10" s="82">
        <f t="shared" si="10"/>
        <v>12.94335132</v>
      </c>
      <c r="AY10" s="82">
        <f t="shared" si="10"/>
        <v>12.94335132</v>
      </c>
      <c r="AZ10" s="82">
        <f t="shared" si="10"/>
        <v>12.94335132</v>
      </c>
      <c r="BA10" s="82">
        <f t="shared" ref="BA10:BL10" si="11">$AZ$10*(1+0.03)</f>
        <v>13.33165185</v>
      </c>
      <c r="BB10" s="82">
        <f t="shared" si="11"/>
        <v>13.33165185</v>
      </c>
      <c r="BC10" s="82">
        <f t="shared" si="11"/>
        <v>13.33165185</v>
      </c>
      <c r="BD10" s="82">
        <f t="shared" si="11"/>
        <v>13.33165185</v>
      </c>
      <c r="BE10" s="82">
        <f t="shared" si="11"/>
        <v>13.33165185</v>
      </c>
      <c r="BF10" s="82">
        <f t="shared" si="11"/>
        <v>13.33165185</v>
      </c>
      <c r="BG10" s="82">
        <f t="shared" si="11"/>
        <v>13.33165185</v>
      </c>
      <c r="BH10" s="82">
        <f t="shared" si="11"/>
        <v>13.33165185</v>
      </c>
      <c r="BI10" s="82">
        <f t="shared" si="11"/>
        <v>13.33165185</v>
      </c>
      <c r="BJ10" s="82">
        <f t="shared" si="11"/>
        <v>13.33165185</v>
      </c>
      <c r="BK10" s="82">
        <f t="shared" si="11"/>
        <v>13.33165185</v>
      </c>
      <c r="BL10" s="82">
        <f t="shared" si="11"/>
        <v>13.33165185</v>
      </c>
    </row>
    <row r="11" ht="14.25" customHeight="1">
      <c r="A11" s="83"/>
      <c r="B11" s="84" t="s">
        <v>127</v>
      </c>
      <c r="C11" s="85"/>
      <c r="D11" s="85"/>
      <c r="E11" s="86">
        <f t="shared" ref="E11:BL11" si="12">(E9*E10)/12</f>
        <v>9870.833333</v>
      </c>
      <c r="F11" s="86">
        <f t="shared" si="12"/>
        <v>9870.833333</v>
      </c>
      <c r="G11" s="86">
        <f t="shared" si="12"/>
        <v>9870.833333</v>
      </c>
      <c r="H11" s="86">
        <f t="shared" si="12"/>
        <v>9870.833333</v>
      </c>
      <c r="I11" s="86">
        <f t="shared" si="12"/>
        <v>9870.833333</v>
      </c>
      <c r="J11" s="86">
        <f t="shared" si="12"/>
        <v>9870.833333</v>
      </c>
      <c r="K11" s="86">
        <f t="shared" si="12"/>
        <v>9870.833333</v>
      </c>
      <c r="L11" s="86">
        <f t="shared" si="12"/>
        <v>9870.833333</v>
      </c>
      <c r="M11" s="86">
        <f t="shared" si="12"/>
        <v>9870.833333</v>
      </c>
      <c r="N11" s="86">
        <f t="shared" si="12"/>
        <v>9870.833333</v>
      </c>
      <c r="O11" s="86">
        <f t="shared" si="12"/>
        <v>9870.833333</v>
      </c>
      <c r="P11" s="86">
        <f t="shared" si="12"/>
        <v>9870.833333</v>
      </c>
      <c r="Q11" s="86">
        <f t="shared" si="12"/>
        <v>10166.95833</v>
      </c>
      <c r="R11" s="86">
        <f t="shared" si="12"/>
        <v>10166.95833</v>
      </c>
      <c r="S11" s="86">
        <f t="shared" si="12"/>
        <v>10166.95833</v>
      </c>
      <c r="T11" s="86">
        <f t="shared" si="12"/>
        <v>10166.95833</v>
      </c>
      <c r="U11" s="86">
        <f t="shared" si="12"/>
        <v>10166.95833</v>
      </c>
      <c r="V11" s="86">
        <f t="shared" si="12"/>
        <v>10166.95833</v>
      </c>
      <c r="W11" s="86">
        <f t="shared" si="12"/>
        <v>10166.95833</v>
      </c>
      <c r="X11" s="86">
        <f t="shared" si="12"/>
        <v>10166.95833</v>
      </c>
      <c r="Y11" s="86">
        <f t="shared" si="12"/>
        <v>10166.95833</v>
      </c>
      <c r="Z11" s="86">
        <f t="shared" si="12"/>
        <v>10166.95833</v>
      </c>
      <c r="AA11" s="86">
        <f t="shared" si="12"/>
        <v>10166.95833</v>
      </c>
      <c r="AB11" s="86">
        <f t="shared" si="12"/>
        <v>10166.95833</v>
      </c>
      <c r="AC11" s="86">
        <f t="shared" si="12"/>
        <v>10471.96708</v>
      </c>
      <c r="AD11" s="86">
        <f t="shared" si="12"/>
        <v>10471.96708</v>
      </c>
      <c r="AE11" s="86">
        <f t="shared" si="12"/>
        <v>10471.96708</v>
      </c>
      <c r="AF11" s="86">
        <f t="shared" si="12"/>
        <v>10471.96708</v>
      </c>
      <c r="AG11" s="86">
        <f t="shared" si="12"/>
        <v>10471.96708</v>
      </c>
      <c r="AH11" s="86">
        <f t="shared" si="12"/>
        <v>10471.96708</v>
      </c>
      <c r="AI11" s="86">
        <f t="shared" si="12"/>
        <v>10471.96708</v>
      </c>
      <c r="AJ11" s="86">
        <f t="shared" si="12"/>
        <v>10471.96708</v>
      </c>
      <c r="AK11" s="86">
        <f t="shared" si="12"/>
        <v>10471.96708</v>
      </c>
      <c r="AL11" s="86">
        <f t="shared" si="12"/>
        <v>10471.96708</v>
      </c>
      <c r="AM11" s="86">
        <f t="shared" si="12"/>
        <v>10471.96708</v>
      </c>
      <c r="AN11" s="86">
        <f t="shared" si="12"/>
        <v>10471.96708</v>
      </c>
      <c r="AO11" s="86">
        <f t="shared" si="12"/>
        <v>10786.1261</v>
      </c>
      <c r="AP11" s="86">
        <f t="shared" si="12"/>
        <v>10786.1261</v>
      </c>
      <c r="AQ11" s="86">
        <f t="shared" si="12"/>
        <v>10786.1261</v>
      </c>
      <c r="AR11" s="86">
        <f t="shared" si="12"/>
        <v>10786.1261</v>
      </c>
      <c r="AS11" s="86">
        <f t="shared" si="12"/>
        <v>10786.1261</v>
      </c>
      <c r="AT11" s="86">
        <f t="shared" si="12"/>
        <v>10786.1261</v>
      </c>
      <c r="AU11" s="86">
        <f t="shared" si="12"/>
        <v>10786.1261</v>
      </c>
      <c r="AV11" s="86">
        <f t="shared" si="12"/>
        <v>10786.1261</v>
      </c>
      <c r="AW11" s="86">
        <f t="shared" si="12"/>
        <v>10786.1261</v>
      </c>
      <c r="AX11" s="86">
        <f t="shared" si="12"/>
        <v>10786.1261</v>
      </c>
      <c r="AY11" s="86">
        <f t="shared" si="12"/>
        <v>10786.1261</v>
      </c>
      <c r="AZ11" s="86">
        <f t="shared" si="12"/>
        <v>10786.1261</v>
      </c>
      <c r="BA11" s="86">
        <f t="shared" si="12"/>
        <v>11109.70988</v>
      </c>
      <c r="BB11" s="86">
        <f t="shared" si="12"/>
        <v>11109.70988</v>
      </c>
      <c r="BC11" s="86">
        <f t="shared" si="12"/>
        <v>11109.70988</v>
      </c>
      <c r="BD11" s="86">
        <f t="shared" si="12"/>
        <v>11109.70988</v>
      </c>
      <c r="BE11" s="86">
        <f t="shared" si="12"/>
        <v>11109.70988</v>
      </c>
      <c r="BF11" s="86">
        <f t="shared" si="12"/>
        <v>11109.70988</v>
      </c>
      <c r="BG11" s="86">
        <f t="shared" si="12"/>
        <v>11109.70988</v>
      </c>
      <c r="BH11" s="86">
        <f t="shared" si="12"/>
        <v>11109.70988</v>
      </c>
      <c r="BI11" s="86">
        <f t="shared" si="12"/>
        <v>11109.70988</v>
      </c>
      <c r="BJ11" s="86">
        <f t="shared" si="12"/>
        <v>11109.70988</v>
      </c>
      <c r="BK11" s="86">
        <f t="shared" si="12"/>
        <v>11109.70988</v>
      </c>
      <c r="BL11" s="86">
        <f t="shared" si="12"/>
        <v>11109.70988</v>
      </c>
    </row>
    <row r="12" ht="14.25" customHeight="1">
      <c r="A12" s="80" t="s">
        <v>129</v>
      </c>
      <c r="B12" s="3" t="s">
        <v>125</v>
      </c>
      <c r="E12" s="3">
        <v>15000.0</v>
      </c>
      <c r="F12" s="3">
        <v>15000.0</v>
      </c>
      <c r="G12" s="3">
        <v>15000.0</v>
      </c>
      <c r="H12" s="3">
        <v>15000.0</v>
      </c>
      <c r="I12" s="3">
        <v>15000.0</v>
      </c>
      <c r="J12" s="3">
        <v>15000.0</v>
      </c>
      <c r="K12" s="3">
        <v>15000.0</v>
      </c>
      <c r="L12" s="3">
        <v>15000.0</v>
      </c>
      <c r="M12" s="3">
        <v>15000.0</v>
      </c>
      <c r="N12" s="3">
        <v>15000.0</v>
      </c>
      <c r="O12" s="3">
        <v>15000.0</v>
      </c>
      <c r="P12" s="3">
        <v>15000.0</v>
      </c>
      <c r="Q12" s="3">
        <v>15000.0</v>
      </c>
      <c r="R12" s="3">
        <v>15000.0</v>
      </c>
      <c r="S12" s="3">
        <v>15000.0</v>
      </c>
      <c r="T12" s="3">
        <v>15000.0</v>
      </c>
      <c r="U12" s="3">
        <v>15000.0</v>
      </c>
      <c r="V12" s="3">
        <v>15000.0</v>
      </c>
      <c r="W12" s="3">
        <v>15000.0</v>
      </c>
      <c r="X12" s="3">
        <v>15000.0</v>
      </c>
      <c r="Y12" s="3">
        <v>15000.0</v>
      </c>
      <c r="Z12" s="3">
        <v>15000.0</v>
      </c>
      <c r="AA12" s="3">
        <v>15000.0</v>
      </c>
      <c r="AB12" s="3">
        <v>15000.0</v>
      </c>
      <c r="AC12" s="3">
        <v>15000.0</v>
      </c>
      <c r="AD12" s="3">
        <v>15000.0</v>
      </c>
      <c r="AE12" s="3">
        <v>15000.0</v>
      </c>
      <c r="AF12" s="3">
        <v>15000.0</v>
      </c>
      <c r="AG12" s="3">
        <v>15000.0</v>
      </c>
      <c r="AH12" s="3">
        <v>15000.0</v>
      </c>
      <c r="AI12" s="3">
        <v>15000.0</v>
      </c>
      <c r="AJ12" s="3">
        <v>15000.0</v>
      </c>
      <c r="AK12" s="3">
        <v>15000.0</v>
      </c>
      <c r="AL12" s="3">
        <v>15000.0</v>
      </c>
      <c r="AM12" s="3">
        <v>15000.0</v>
      </c>
      <c r="AN12" s="3">
        <v>15000.0</v>
      </c>
      <c r="AO12" s="3">
        <v>15000.0</v>
      </c>
      <c r="AP12" s="3">
        <v>15000.0</v>
      </c>
      <c r="AQ12" s="3">
        <v>15000.0</v>
      </c>
      <c r="AR12" s="3">
        <v>15000.0</v>
      </c>
      <c r="AS12" s="3">
        <v>15000.0</v>
      </c>
      <c r="AT12" s="3">
        <v>15000.0</v>
      </c>
      <c r="AU12" s="3">
        <v>15000.0</v>
      </c>
      <c r="AV12" s="3">
        <v>15000.0</v>
      </c>
      <c r="AW12" s="3">
        <v>15000.0</v>
      </c>
      <c r="AX12" s="3">
        <v>15000.0</v>
      </c>
      <c r="AY12" s="3">
        <v>15000.0</v>
      </c>
      <c r="AZ12" s="3">
        <v>15000.0</v>
      </c>
      <c r="BA12" s="3">
        <v>15000.0</v>
      </c>
      <c r="BB12" s="3">
        <v>15000.0</v>
      </c>
      <c r="BC12" s="3">
        <v>15000.0</v>
      </c>
      <c r="BD12" s="3">
        <v>15000.0</v>
      </c>
      <c r="BE12" s="3">
        <v>15000.0</v>
      </c>
      <c r="BF12" s="3">
        <v>15000.0</v>
      </c>
      <c r="BG12" s="3">
        <v>15000.0</v>
      </c>
      <c r="BH12" s="3">
        <v>15000.0</v>
      </c>
      <c r="BI12" s="3">
        <v>15000.0</v>
      </c>
      <c r="BJ12" s="3">
        <v>15000.0</v>
      </c>
      <c r="BK12" s="3">
        <v>15000.0</v>
      </c>
      <c r="BL12" s="3">
        <v>15000.0</v>
      </c>
    </row>
    <row r="13" ht="14.25" customHeight="1">
      <c r="A13" s="6"/>
      <c r="B13" s="3" t="s">
        <v>126</v>
      </c>
      <c r="D13" s="3">
        <v>10.75</v>
      </c>
      <c r="E13" s="81">
        <f t="shared" ref="E13:P13" si="13">$D$13*(1+0.03)</f>
        <v>11.0725</v>
      </c>
      <c r="F13" s="81">
        <f t="shared" si="13"/>
        <v>11.0725</v>
      </c>
      <c r="G13" s="81">
        <f t="shared" si="13"/>
        <v>11.0725</v>
      </c>
      <c r="H13" s="81">
        <f t="shared" si="13"/>
        <v>11.0725</v>
      </c>
      <c r="I13" s="81">
        <f t="shared" si="13"/>
        <v>11.0725</v>
      </c>
      <c r="J13" s="81">
        <f t="shared" si="13"/>
        <v>11.0725</v>
      </c>
      <c r="K13" s="81">
        <f t="shared" si="13"/>
        <v>11.0725</v>
      </c>
      <c r="L13" s="81">
        <f t="shared" si="13"/>
        <v>11.0725</v>
      </c>
      <c r="M13" s="81">
        <f t="shared" si="13"/>
        <v>11.0725</v>
      </c>
      <c r="N13" s="81">
        <f t="shared" si="13"/>
        <v>11.0725</v>
      </c>
      <c r="O13" s="81">
        <f t="shared" si="13"/>
        <v>11.0725</v>
      </c>
      <c r="P13" s="81">
        <f t="shared" si="13"/>
        <v>11.0725</v>
      </c>
      <c r="Q13" s="82">
        <f t="shared" ref="Q13:AB13" si="14">$P$13*(1+0.03)</f>
        <v>11.404675</v>
      </c>
      <c r="R13" s="82">
        <f t="shared" si="14"/>
        <v>11.404675</v>
      </c>
      <c r="S13" s="82">
        <f t="shared" si="14"/>
        <v>11.404675</v>
      </c>
      <c r="T13" s="82">
        <f t="shared" si="14"/>
        <v>11.404675</v>
      </c>
      <c r="U13" s="82">
        <f t="shared" si="14"/>
        <v>11.404675</v>
      </c>
      <c r="V13" s="82">
        <f t="shared" si="14"/>
        <v>11.404675</v>
      </c>
      <c r="W13" s="82">
        <f t="shared" si="14"/>
        <v>11.404675</v>
      </c>
      <c r="X13" s="82">
        <f t="shared" si="14"/>
        <v>11.404675</v>
      </c>
      <c r="Y13" s="82">
        <f t="shared" si="14"/>
        <v>11.404675</v>
      </c>
      <c r="Z13" s="82">
        <f t="shared" si="14"/>
        <v>11.404675</v>
      </c>
      <c r="AA13" s="82">
        <f t="shared" si="14"/>
        <v>11.404675</v>
      </c>
      <c r="AB13" s="82">
        <f t="shared" si="14"/>
        <v>11.404675</v>
      </c>
      <c r="AC13" s="82">
        <f t="shared" ref="AC13:AN13" si="15">$AB$13*(1+0.03)</f>
        <v>11.74681525</v>
      </c>
      <c r="AD13" s="82">
        <f t="shared" si="15"/>
        <v>11.74681525</v>
      </c>
      <c r="AE13" s="82">
        <f t="shared" si="15"/>
        <v>11.74681525</v>
      </c>
      <c r="AF13" s="82">
        <f t="shared" si="15"/>
        <v>11.74681525</v>
      </c>
      <c r="AG13" s="82">
        <f t="shared" si="15"/>
        <v>11.74681525</v>
      </c>
      <c r="AH13" s="82">
        <f t="shared" si="15"/>
        <v>11.74681525</v>
      </c>
      <c r="AI13" s="82">
        <f t="shared" si="15"/>
        <v>11.74681525</v>
      </c>
      <c r="AJ13" s="82">
        <f t="shared" si="15"/>
        <v>11.74681525</v>
      </c>
      <c r="AK13" s="82">
        <f t="shared" si="15"/>
        <v>11.74681525</v>
      </c>
      <c r="AL13" s="82">
        <f t="shared" si="15"/>
        <v>11.74681525</v>
      </c>
      <c r="AM13" s="82">
        <f t="shared" si="15"/>
        <v>11.74681525</v>
      </c>
      <c r="AN13" s="82">
        <f t="shared" si="15"/>
        <v>11.74681525</v>
      </c>
      <c r="AO13" s="82">
        <f t="shared" ref="AO13:AZ13" si="16">$AN$13*(1+0.03)</f>
        <v>12.09921971</v>
      </c>
      <c r="AP13" s="82">
        <f t="shared" si="16"/>
        <v>12.09921971</v>
      </c>
      <c r="AQ13" s="82">
        <f t="shared" si="16"/>
        <v>12.09921971</v>
      </c>
      <c r="AR13" s="82">
        <f t="shared" si="16"/>
        <v>12.09921971</v>
      </c>
      <c r="AS13" s="82">
        <f t="shared" si="16"/>
        <v>12.09921971</v>
      </c>
      <c r="AT13" s="82">
        <f t="shared" si="16"/>
        <v>12.09921971</v>
      </c>
      <c r="AU13" s="82">
        <f t="shared" si="16"/>
        <v>12.09921971</v>
      </c>
      <c r="AV13" s="82">
        <f t="shared" si="16"/>
        <v>12.09921971</v>
      </c>
      <c r="AW13" s="82">
        <f t="shared" si="16"/>
        <v>12.09921971</v>
      </c>
      <c r="AX13" s="82">
        <f t="shared" si="16"/>
        <v>12.09921971</v>
      </c>
      <c r="AY13" s="82">
        <f t="shared" si="16"/>
        <v>12.09921971</v>
      </c>
      <c r="AZ13" s="82">
        <f t="shared" si="16"/>
        <v>12.09921971</v>
      </c>
      <c r="BA13" s="82">
        <f t="shared" ref="BA13:BL13" si="17">$AZ$13*(1+0.03)</f>
        <v>12.4621963</v>
      </c>
      <c r="BB13" s="82">
        <f t="shared" si="17"/>
        <v>12.4621963</v>
      </c>
      <c r="BC13" s="82">
        <f t="shared" si="17"/>
        <v>12.4621963</v>
      </c>
      <c r="BD13" s="82">
        <f t="shared" si="17"/>
        <v>12.4621963</v>
      </c>
      <c r="BE13" s="82">
        <f t="shared" si="17"/>
        <v>12.4621963</v>
      </c>
      <c r="BF13" s="82">
        <f t="shared" si="17"/>
        <v>12.4621963</v>
      </c>
      <c r="BG13" s="82">
        <f t="shared" si="17"/>
        <v>12.4621963</v>
      </c>
      <c r="BH13" s="82">
        <f t="shared" si="17"/>
        <v>12.4621963</v>
      </c>
      <c r="BI13" s="82">
        <f t="shared" si="17"/>
        <v>12.4621963</v>
      </c>
      <c r="BJ13" s="82">
        <f t="shared" si="17"/>
        <v>12.4621963</v>
      </c>
      <c r="BK13" s="82">
        <f t="shared" si="17"/>
        <v>12.4621963</v>
      </c>
      <c r="BL13" s="82">
        <f t="shared" si="17"/>
        <v>12.4621963</v>
      </c>
    </row>
    <row r="14" ht="14.25" customHeight="1">
      <c r="A14" s="83"/>
      <c r="B14" s="84" t="s">
        <v>127</v>
      </c>
      <c r="C14" s="85"/>
      <c r="D14" s="85"/>
      <c r="E14" s="86">
        <f t="shared" ref="E14:BL14" si="18">(E12*E13)/12</f>
        <v>13840.625</v>
      </c>
      <c r="F14" s="86">
        <f t="shared" si="18"/>
        <v>13840.625</v>
      </c>
      <c r="G14" s="86">
        <f t="shared" si="18"/>
        <v>13840.625</v>
      </c>
      <c r="H14" s="86">
        <f t="shared" si="18"/>
        <v>13840.625</v>
      </c>
      <c r="I14" s="86">
        <f t="shared" si="18"/>
        <v>13840.625</v>
      </c>
      <c r="J14" s="86">
        <f t="shared" si="18"/>
        <v>13840.625</v>
      </c>
      <c r="K14" s="86">
        <f t="shared" si="18"/>
        <v>13840.625</v>
      </c>
      <c r="L14" s="86">
        <f t="shared" si="18"/>
        <v>13840.625</v>
      </c>
      <c r="M14" s="86">
        <f t="shared" si="18"/>
        <v>13840.625</v>
      </c>
      <c r="N14" s="86">
        <f t="shared" si="18"/>
        <v>13840.625</v>
      </c>
      <c r="O14" s="86">
        <f t="shared" si="18"/>
        <v>13840.625</v>
      </c>
      <c r="P14" s="86">
        <f t="shared" si="18"/>
        <v>13840.625</v>
      </c>
      <c r="Q14" s="86">
        <f t="shared" si="18"/>
        <v>14255.84375</v>
      </c>
      <c r="R14" s="86">
        <f t="shared" si="18"/>
        <v>14255.84375</v>
      </c>
      <c r="S14" s="86">
        <f t="shared" si="18"/>
        <v>14255.84375</v>
      </c>
      <c r="T14" s="86">
        <f t="shared" si="18"/>
        <v>14255.84375</v>
      </c>
      <c r="U14" s="86">
        <f t="shared" si="18"/>
        <v>14255.84375</v>
      </c>
      <c r="V14" s="86">
        <f t="shared" si="18"/>
        <v>14255.84375</v>
      </c>
      <c r="W14" s="86">
        <f t="shared" si="18"/>
        <v>14255.84375</v>
      </c>
      <c r="X14" s="86">
        <f t="shared" si="18"/>
        <v>14255.84375</v>
      </c>
      <c r="Y14" s="86">
        <f t="shared" si="18"/>
        <v>14255.84375</v>
      </c>
      <c r="Z14" s="86">
        <f t="shared" si="18"/>
        <v>14255.84375</v>
      </c>
      <c r="AA14" s="86">
        <f t="shared" si="18"/>
        <v>14255.84375</v>
      </c>
      <c r="AB14" s="86">
        <f t="shared" si="18"/>
        <v>14255.84375</v>
      </c>
      <c r="AC14" s="86">
        <f t="shared" si="18"/>
        <v>14683.51906</v>
      </c>
      <c r="AD14" s="86">
        <f t="shared" si="18"/>
        <v>14683.51906</v>
      </c>
      <c r="AE14" s="86">
        <f t="shared" si="18"/>
        <v>14683.51906</v>
      </c>
      <c r="AF14" s="86">
        <f t="shared" si="18"/>
        <v>14683.51906</v>
      </c>
      <c r="AG14" s="86">
        <f t="shared" si="18"/>
        <v>14683.51906</v>
      </c>
      <c r="AH14" s="86">
        <f t="shared" si="18"/>
        <v>14683.51906</v>
      </c>
      <c r="AI14" s="86">
        <f t="shared" si="18"/>
        <v>14683.51906</v>
      </c>
      <c r="AJ14" s="86">
        <f t="shared" si="18"/>
        <v>14683.51906</v>
      </c>
      <c r="AK14" s="86">
        <f t="shared" si="18"/>
        <v>14683.51906</v>
      </c>
      <c r="AL14" s="86">
        <f t="shared" si="18"/>
        <v>14683.51906</v>
      </c>
      <c r="AM14" s="86">
        <f t="shared" si="18"/>
        <v>14683.51906</v>
      </c>
      <c r="AN14" s="86">
        <f t="shared" si="18"/>
        <v>14683.51906</v>
      </c>
      <c r="AO14" s="86">
        <f t="shared" si="18"/>
        <v>15124.02463</v>
      </c>
      <c r="AP14" s="86">
        <f t="shared" si="18"/>
        <v>15124.02463</v>
      </c>
      <c r="AQ14" s="86">
        <f t="shared" si="18"/>
        <v>15124.02463</v>
      </c>
      <c r="AR14" s="86">
        <f t="shared" si="18"/>
        <v>15124.02463</v>
      </c>
      <c r="AS14" s="86">
        <f t="shared" si="18"/>
        <v>15124.02463</v>
      </c>
      <c r="AT14" s="86">
        <f t="shared" si="18"/>
        <v>15124.02463</v>
      </c>
      <c r="AU14" s="86">
        <f t="shared" si="18"/>
        <v>15124.02463</v>
      </c>
      <c r="AV14" s="86">
        <f t="shared" si="18"/>
        <v>15124.02463</v>
      </c>
      <c r="AW14" s="86">
        <f t="shared" si="18"/>
        <v>15124.02463</v>
      </c>
      <c r="AX14" s="86">
        <f t="shared" si="18"/>
        <v>15124.02463</v>
      </c>
      <c r="AY14" s="86">
        <f t="shared" si="18"/>
        <v>15124.02463</v>
      </c>
      <c r="AZ14" s="86">
        <f t="shared" si="18"/>
        <v>15124.02463</v>
      </c>
      <c r="BA14" s="86">
        <f t="shared" si="18"/>
        <v>15577.74537</v>
      </c>
      <c r="BB14" s="86">
        <f t="shared" si="18"/>
        <v>15577.74537</v>
      </c>
      <c r="BC14" s="86">
        <f t="shared" si="18"/>
        <v>15577.74537</v>
      </c>
      <c r="BD14" s="86">
        <f t="shared" si="18"/>
        <v>15577.74537</v>
      </c>
      <c r="BE14" s="86">
        <f t="shared" si="18"/>
        <v>15577.74537</v>
      </c>
      <c r="BF14" s="86">
        <f t="shared" si="18"/>
        <v>15577.74537</v>
      </c>
      <c r="BG14" s="86">
        <f t="shared" si="18"/>
        <v>15577.74537</v>
      </c>
      <c r="BH14" s="86">
        <f t="shared" si="18"/>
        <v>15577.74537</v>
      </c>
      <c r="BI14" s="86">
        <f t="shared" si="18"/>
        <v>15577.74537</v>
      </c>
      <c r="BJ14" s="86">
        <f t="shared" si="18"/>
        <v>15577.74537</v>
      </c>
      <c r="BK14" s="86">
        <f t="shared" si="18"/>
        <v>15577.74537</v>
      </c>
      <c r="BL14" s="86">
        <f t="shared" si="18"/>
        <v>15577.74537</v>
      </c>
    </row>
    <row r="15" ht="14.25" customHeight="1">
      <c r="A15" s="80" t="s">
        <v>130</v>
      </c>
      <c r="B15" s="3" t="s">
        <v>125</v>
      </c>
      <c r="E15" s="3">
        <v>5000.0</v>
      </c>
      <c r="F15" s="3">
        <v>5000.0</v>
      </c>
      <c r="G15" s="3">
        <v>5000.0</v>
      </c>
      <c r="H15" s="3">
        <v>5000.0</v>
      </c>
      <c r="I15" s="3">
        <v>5000.0</v>
      </c>
      <c r="J15" s="3">
        <v>5000.0</v>
      </c>
      <c r="K15" s="3">
        <v>5000.0</v>
      </c>
      <c r="L15" s="3">
        <v>5000.0</v>
      </c>
      <c r="M15" s="3">
        <v>5000.0</v>
      </c>
      <c r="N15" s="3">
        <v>5000.0</v>
      </c>
      <c r="O15" s="3">
        <v>5000.0</v>
      </c>
      <c r="P15" s="3">
        <v>5000.0</v>
      </c>
      <c r="Q15" s="3">
        <v>5000.0</v>
      </c>
      <c r="R15" s="3">
        <v>5000.0</v>
      </c>
      <c r="S15" s="3">
        <v>5000.0</v>
      </c>
      <c r="T15" s="3">
        <v>5000.0</v>
      </c>
      <c r="U15" s="3">
        <v>5000.0</v>
      </c>
      <c r="V15" s="3">
        <v>5000.0</v>
      </c>
      <c r="W15" s="3">
        <v>5000.0</v>
      </c>
      <c r="X15" s="3">
        <v>5000.0</v>
      </c>
      <c r="Y15" s="3">
        <v>5000.0</v>
      </c>
      <c r="Z15" s="3">
        <v>5000.0</v>
      </c>
      <c r="AA15" s="3">
        <v>5000.0</v>
      </c>
      <c r="AB15" s="3">
        <v>5000.0</v>
      </c>
      <c r="AC15" s="3">
        <v>5000.0</v>
      </c>
      <c r="AD15" s="3">
        <v>5000.0</v>
      </c>
      <c r="AE15" s="3">
        <v>5000.0</v>
      </c>
      <c r="AF15" s="3">
        <v>5000.0</v>
      </c>
      <c r="AG15" s="3">
        <v>5000.0</v>
      </c>
      <c r="AH15" s="3">
        <v>5000.0</v>
      </c>
      <c r="AI15" s="3">
        <v>5000.0</v>
      </c>
      <c r="AJ15" s="3">
        <v>5000.0</v>
      </c>
      <c r="AK15" s="3">
        <v>5000.0</v>
      </c>
      <c r="AL15" s="3">
        <v>5000.0</v>
      </c>
      <c r="AM15" s="3">
        <v>5000.0</v>
      </c>
      <c r="AN15" s="3">
        <v>5000.0</v>
      </c>
      <c r="AO15" s="3">
        <v>5000.0</v>
      </c>
      <c r="AP15" s="3">
        <v>5000.0</v>
      </c>
      <c r="AQ15" s="3">
        <v>5000.0</v>
      </c>
      <c r="AR15" s="3">
        <v>5000.0</v>
      </c>
      <c r="AS15" s="3">
        <v>5000.0</v>
      </c>
      <c r="AT15" s="3">
        <v>5000.0</v>
      </c>
      <c r="AU15" s="3">
        <v>5000.0</v>
      </c>
      <c r="AV15" s="3">
        <v>5000.0</v>
      </c>
      <c r="AW15" s="3">
        <v>5000.0</v>
      </c>
      <c r="AX15" s="3">
        <v>5000.0</v>
      </c>
      <c r="AY15" s="3">
        <v>5000.0</v>
      </c>
      <c r="AZ15" s="3">
        <v>5000.0</v>
      </c>
      <c r="BA15" s="3">
        <v>5000.0</v>
      </c>
      <c r="BB15" s="3">
        <v>5000.0</v>
      </c>
      <c r="BC15" s="3">
        <v>5000.0</v>
      </c>
      <c r="BD15" s="3">
        <v>5000.0</v>
      </c>
      <c r="BE15" s="3">
        <v>5000.0</v>
      </c>
      <c r="BF15" s="3">
        <v>5000.0</v>
      </c>
      <c r="BG15" s="3">
        <v>5000.0</v>
      </c>
      <c r="BH15" s="3">
        <v>5000.0</v>
      </c>
      <c r="BI15" s="3">
        <v>5000.0</v>
      </c>
      <c r="BJ15" s="3">
        <v>5000.0</v>
      </c>
      <c r="BK15" s="3">
        <v>5000.0</v>
      </c>
      <c r="BL15" s="3">
        <v>5000.0</v>
      </c>
    </row>
    <row r="16" ht="14.25" customHeight="1">
      <c r="A16" s="6"/>
      <c r="B16" s="3" t="s">
        <v>126</v>
      </c>
      <c r="D16" s="3">
        <v>12.0</v>
      </c>
      <c r="E16" s="81">
        <f t="shared" ref="E16:P16" si="19">$D$16*(1+0.05)</f>
        <v>12.6</v>
      </c>
      <c r="F16" s="81">
        <f t="shared" si="19"/>
        <v>12.6</v>
      </c>
      <c r="G16" s="81">
        <f t="shared" si="19"/>
        <v>12.6</v>
      </c>
      <c r="H16" s="81">
        <f t="shared" si="19"/>
        <v>12.6</v>
      </c>
      <c r="I16" s="81">
        <f t="shared" si="19"/>
        <v>12.6</v>
      </c>
      <c r="J16" s="81">
        <f t="shared" si="19"/>
        <v>12.6</v>
      </c>
      <c r="K16" s="81">
        <f t="shared" si="19"/>
        <v>12.6</v>
      </c>
      <c r="L16" s="81">
        <f t="shared" si="19"/>
        <v>12.6</v>
      </c>
      <c r="M16" s="81">
        <f t="shared" si="19"/>
        <v>12.6</v>
      </c>
      <c r="N16" s="81">
        <f t="shared" si="19"/>
        <v>12.6</v>
      </c>
      <c r="O16" s="81">
        <f t="shared" si="19"/>
        <v>12.6</v>
      </c>
      <c r="P16" s="81">
        <f t="shared" si="19"/>
        <v>12.6</v>
      </c>
      <c r="Q16" s="82">
        <f t="shared" ref="Q16:AB16" si="20">$P$16*(1+0.05)</f>
        <v>13.23</v>
      </c>
      <c r="R16" s="82">
        <f t="shared" si="20"/>
        <v>13.23</v>
      </c>
      <c r="S16" s="82">
        <f t="shared" si="20"/>
        <v>13.23</v>
      </c>
      <c r="T16" s="82">
        <f t="shared" si="20"/>
        <v>13.23</v>
      </c>
      <c r="U16" s="82">
        <f t="shared" si="20"/>
        <v>13.23</v>
      </c>
      <c r="V16" s="82">
        <f t="shared" si="20"/>
        <v>13.23</v>
      </c>
      <c r="W16" s="82">
        <f t="shared" si="20"/>
        <v>13.23</v>
      </c>
      <c r="X16" s="82">
        <f t="shared" si="20"/>
        <v>13.23</v>
      </c>
      <c r="Y16" s="82">
        <f t="shared" si="20"/>
        <v>13.23</v>
      </c>
      <c r="Z16" s="82">
        <f t="shared" si="20"/>
        <v>13.23</v>
      </c>
      <c r="AA16" s="82">
        <f t="shared" si="20"/>
        <v>13.23</v>
      </c>
      <c r="AB16" s="82">
        <f t="shared" si="20"/>
        <v>13.23</v>
      </c>
      <c r="AC16" s="81">
        <f t="shared" ref="AC16:AN16" si="21">$AB$16*(1+0.05)</f>
        <v>13.8915</v>
      </c>
      <c r="AD16" s="81">
        <f t="shared" si="21"/>
        <v>13.8915</v>
      </c>
      <c r="AE16" s="81">
        <f t="shared" si="21"/>
        <v>13.8915</v>
      </c>
      <c r="AF16" s="81">
        <f t="shared" si="21"/>
        <v>13.8915</v>
      </c>
      <c r="AG16" s="81">
        <f t="shared" si="21"/>
        <v>13.8915</v>
      </c>
      <c r="AH16" s="81">
        <f t="shared" si="21"/>
        <v>13.8915</v>
      </c>
      <c r="AI16" s="81">
        <f t="shared" si="21"/>
        <v>13.8915</v>
      </c>
      <c r="AJ16" s="81">
        <f t="shared" si="21"/>
        <v>13.8915</v>
      </c>
      <c r="AK16" s="81">
        <f t="shared" si="21"/>
        <v>13.8915</v>
      </c>
      <c r="AL16" s="81">
        <f t="shared" si="21"/>
        <v>13.8915</v>
      </c>
      <c r="AM16" s="81">
        <f t="shared" si="21"/>
        <v>13.8915</v>
      </c>
      <c r="AN16" s="81">
        <f t="shared" si="21"/>
        <v>13.8915</v>
      </c>
      <c r="AO16" s="82">
        <f t="shared" ref="AO16:AZ16" si="22">$AN$16*(1+0.05)</f>
        <v>14.586075</v>
      </c>
      <c r="AP16" s="82">
        <f t="shared" si="22"/>
        <v>14.586075</v>
      </c>
      <c r="AQ16" s="82">
        <f t="shared" si="22"/>
        <v>14.586075</v>
      </c>
      <c r="AR16" s="82">
        <f t="shared" si="22"/>
        <v>14.586075</v>
      </c>
      <c r="AS16" s="82">
        <f t="shared" si="22"/>
        <v>14.586075</v>
      </c>
      <c r="AT16" s="82">
        <f t="shared" si="22"/>
        <v>14.586075</v>
      </c>
      <c r="AU16" s="82">
        <f t="shared" si="22"/>
        <v>14.586075</v>
      </c>
      <c r="AV16" s="82">
        <f t="shared" si="22"/>
        <v>14.586075</v>
      </c>
      <c r="AW16" s="82">
        <f t="shared" si="22"/>
        <v>14.586075</v>
      </c>
      <c r="AX16" s="82">
        <f t="shared" si="22"/>
        <v>14.586075</v>
      </c>
      <c r="AY16" s="82">
        <f t="shared" si="22"/>
        <v>14.586075</v>
      </c>
      <c r="AZ16" s="82">
        <f t="shared" si="22"/>
        <v>14.586075</v>
      </c>
      <c r="BA16" s="82">
        <f t="shared" ref="BA16:BL16" si="23">$AZ$16*(1+0.05)</f>
        <v>15.31537875</v>
      </c>
      <c r="BB16" s="82">
        <f t="shared" si="23"/>
        <v>15.31537875</v>
      </c>
      <c r="BC16" s="82">
        <f t="shared" si="23"/>
        <v>15.31537875</v>
      </c>
      <c r="BD16" s="82">
        <f t="shared" si="23"/>
        <v>15.31537875</v>
      </c>
      <c r="BE16" s="82">
        <f t="shared" si="23"/>
        <v>15.31537875</v>
      </c>
      <c r="BF16" s="82">
        <f t="shared" si="23"/>
        <v>15.31537875</v>
      </c>
      <c r="BG16" s="82">
        <f t="shared" si="23"/>
        <v>15.31537875</v>
      </c>
      <c r="BH16" s="82">
        <f t="shared" si="23"/>
        <v>15.31537875</v>
      </c>
      <c r="BI16" s="82">
        <f t="shared" si="23"/>
        <v>15.31537875</v>
      </c>
      <c r="BJ16" s="82">
        <f t="shared" si="23"/>
        <v>15.31537875</v>
      </c>
      <c r="BK16" s="82">
        <f t="shared" si="23"/>
        <v>15.31537875</v>
      </c>
      <c r="BL16" s="82">
        <f t="shared" si="23"/>
        <v>15.31537875</v>
      </c>
    </row>
    <row r="17" ht="14.25" customHeight="1">
      <c r="A17" s="83"/>
      <c r="B17" s="84" t="s">
        <v>127</v>
      </c>
      <c r="C17" s="85"/>
      <c r="D17" s="85"/>
      <c r="E17" s="85">
        <f t="shared" ref="E17:BL17" si="24">(E16*E15)/12</f>
        <v>5250</v>
      </c>
      <c r="F17" s="85">
        <f t="shared" si="24"/>
        <v>5250</v>
      </c>
      <c r="G17" s="85">
        <f t="shared" si="24"/>
        <v>5250</v>
      </c>
      <c r="H17" s="86">
        <f t="shared" si="24"/>
        <v>5250</v>
      </c>
      <c r="I17" s="86">
        <f t="shared" si="24"/>
        <v>5250</v>
      </c>
      <c r="J17" s="86">
        <f t="shared" si="24"/>
        <v>5250</v>
      </c>
      <c r="K17" s="86">
        <f t="shared" si="24"/>
        <v>5250</v>
      </c>
      <c r="L17" s="86">
        <f t="shared" si="24"/>
        <v>5250</v>
      </c>
      <c r="M17" s="86">
        <f t="shared" si="24"/>
        <v>5250</v>
      </c>
      <c r="N17" s="86">
        <f t="shared" si="24"/>
        <v>5250</v>
      </c>
      <c r="O17" s="86">
        <f t="shared" si="24"/>
        <v>5250</v>
      </c>
      <c r="P17" s="86">
        <f t="shared" si="24"/>
        <v>5250</v>
      </c>
      <c r="Q17" s="86">
        <f t="shared" si="24"/>
        <v>5512.5</v>
      </c>
      <c r="R17" s="86">
        <f t="shared" si="24"/>
        <v>5512.5</v>
      </c>
      <c r="S17" s="86">
        <f t="shared" si="24"/>
        <v>5512.5</v>
      </c>
      <c r="T17" s="86">
        <f t="shared" si="24"/>
        <v>5512.5</v>
      </c>
      <c r="U17" s="86">
        <f t="shared" si="24"/>
        <v>5512.5</v>
      </c>
      <c r="V17" s="86">
        <f t="shared" si="24"/>
        <v>5512.5</v>
      </c>
      <c r="W17" s="86">
        <f t="shared" si="24"/>
        <v>5512.5</v>
      </c>
      <c r="X17" s="86">
        <f t="shared" si="24"/>
        <v>5512.5</v>
      </c>
      <c r="Y17" s="86">
        <f t="shared" si="24"/>
        <v>5512.5</v>
      </c>
      <c r="Z17" s="86">
        <f t="shared" si="24"/>
        <v>5512.5</v>
      </c>
      <c r="AA17" s="86">
        <f t="shared" si="24"/>
        <v>5512.5</v>
      </c>
      <c r="AB17" s="86">
        <f t="shared" si="24"/>
        <v>5512.5</v>
      </c>
      <c r="AC17" s="86">
        <f t="shared" si="24"/>
        <v>5788.125</v>
      </c>
      <c r="AD17" s="86">
        <f t="shared" si="24"/>
        <v>5788.125</v>
      </c>
      <c r="AE17" s="86">
        <f t="shared" si="24"/>
        <v>5788.125</v>
      </c>
      <c r="AF17" s="86">
        <f t="shared" si="24"/>
        <v>5788.125</v>
      </c>
      <c r="AG17" s="86">
        <f t="shared" si="24"/>
        <v>5788.125</v>
      </c>
      <c r="AH17" s="86">
        <f t="shared" si="24"/>
        <v>5788.125</v>
      </c>
      <c r="AI17" s="86">
        <f t="shared" si="24"/>
        <v>5788.125</v>
      </c>
      <c r="AJ17" s="86">
        <f t="shared" si="24"/>
        <v>5788.125</v>
      </c>
      <c r="AK17" s="86">
        <f t="shared" si="24"/>
        <v>5788.125</v>
      </c>
      <c r="AL17" s="86">
        <f t="shared" si="24"/>
        <v>5788.125</v>
      </c>
      <c r="AM17" s="86">
        <f t="shared" si="24"/>
        <v>5788.125</v>
      </c>
      <c r="AN17" s="86">
        <f t="shared" si="24"/>
        <v>5788.125</v>
      </c>
      <c r="AO17" s="86">
        <f t="shared" si="24"/>
        <v>6077.53125</v>
      </c>
      <c r="AP17" s="86">
        <f t="shared" si="24"/>
        <v>6077.53125</v>
      </c>
      <c r="AQ17" s="86">
        <f t="shared" si="24"/>
        <v>6077.53125</v>
      </c>
      <c r="AR17" s="86">
        <f t="shared" si="24"/>
        <v>6077.53125</v>
      </c>
      <c r="AS17" s="86">
        <f t="shared" si="24"/>
        <v>6077.53125</v>
      </c>
      <c r="AT17" s="86">
        <f t="shared" si="24"/>
        <v>6077.53125</v>
      </c>
      <c r="AU17" s="86">
        <f t="shared" si="24"/>
        <v>6077.53125</v>
      </c>
      <c r="AV17" s="86">
        <f t="shared" si="24"/>
        <v>6077.53125</v>
      </c>
      <c r="AW17" s="86">
        <f t="shared" si="24"/>
        <v>6077.53125</v>
      </c>
      <c r="AX17" s="86">
        <f t="shared" si="24"/>
        <v>6077.53125</v>
      </c>
      <c r="AY17" s="86">
        <f t="shared" si="24"/>
        <v>6077.53125</v>
      </c>
      <c r="AZ17" s="86">
        <f t="shared" si="24"/>
        <v>6077.53125</v>
      </c>
      <c r="BA17" s="86">
        <f t="shared" si="24"/>
        <v>6381.407813</v>
      </c>
      <c r="BB17" s="86">
        <f t="shared" si="24"/>
        <v>6381.407813</v>
      </c>
      <c r="BC17" s="86">
        <f t="shared" si="24"/>
        <v>6381.407813</v>
      </c>
      <c r="BD17" s="86">
        <f t="shared" si="24"/>
        <v>6381.407813</v>
      </c>
      <c r="BE17" s="86">
        <f t="shared" si="24"/>
        <v>6381.407813</v>
      </c>
      <c r="BF17" s="86">
        <f t="shared" si="24"/>
        <v>6381.407813</v>
      </c>
      <c r="BG17" s="86">
        <f t="shared" si="24"/>
        <v>6381.407813</v>
      </c>
      <c r="BH17" s="86">
        <f t="shared" si="24"/>
        <v>6381.407813</v>
      </c>
      <c r="BI17" s="86">
        <f t="shared" si="24"/>
        <v>6381.407813</v>
      </c>
      <c r="BJ17" s="86">
        <f t="shared" si="24"/>
        <v>6381.407813</v>
      </c>
      <c r="BK17" s="86">
        <f t="shared" si="24"/>
        <v>6381.407813</v>
      </c>
      <c r="BL17" s="86">
        <f t="shared" si="24"/>
        <v>6381.407813</v>
      </c>
    </row>
    <row r="18" ht="14.25" customHeight="1">
      <c r="A18" s="80" t="s">
        <v>131</v>
      </c>
      <c r="B18" s="3" t="s">
        <v>125</v>
      </c>
      <c r="E18" s="3">
        <v>10000.0</v>
      </c>
      <c r="F18" s="3">
        <v>10000.0</v>
      </c>
      <c r="G18" s="3">
        <v>10000.0</v>
      </c>
      <c r="H18" s="3">
        <v>10000.0</v>
      </c>
      <c r="I18" s="3">
        <v>10000.0</v>
      </c>
      <c r="J18" s="3">
        <v>10000.0</v>
      </c>
      <c r="K18" s="3">
        <v>10000.0</v>
      </c>
      <c r="L18" s="3">
        <v>10000.0</v>
      </c>
      <c r="M18" s="3">
        <v>10000.0</v>
      </c>
      <c r="N18" s="3">
        <v>10000.0</v>
      </c>
      <c r="O18" s="3">
        <v>10000.0</v>
      </c>
      <c r="P18" s="3">
        <v>10000.0</v>
      </c>
      <c r="Q18" s="3">
        <v>10000.0</v>
      </c>
      <c r="R18" s="3">
        <v>10000.0</v>
      </c>
      <c r="S18" s="3">
        <v>10000.0</v>
      </c>
      <c r="T18" s="3">
        <v>10000.0</v>
      </c>
      <c r="U18" s="3">
        <v>10000.0</v>
      </c>
      <c r="V18" s="3">
        <v>10000.0</v>
      </c>
      <c r="W18" s="3">
        <v>10000.0</v>
      </c>
      <c r="X18" s="3">
        <v>10000.0</v>
      </c>
      <c r="Y18" s="3">
        <v>10000.0</v>
      </c>
      <c r="Z18" s="3">
        <v>10000.0</v>
      </c>
      <c r="AA18" s="3">
        <v>10000.0</v>
      </c>
      <c r="AB18" s="3">
        <v>10000.0</v>
      </c>
      <c r="AC18" s="3">
        <v>10000.0</v>
      </c>
      <c r="AD18" s="3">
        <v>10000.0</v>
      </c>
      <c r="AE18" s="3">
        <v>10000.0</v>
      </c>
      <c r="AF18" s="3">
        <v>10000.0</v>
      </c>
      <c r="AG18" s="3">
        <v>10000.0</v>
      </c>
      <c r="AH18" s="3">
        <v>10000.0</v>
      </c>
      <c r="AI18" s="3">
        <v>10000.0</v>
      </c>
      <c r="AJ18" s="3">
        <v>10000.0</v>
      </c>
      <c r="AK18" s="3">
        <v>10000.0</v>
      </c>
      <c r="AL18" s="3">
        <v>10000.0</v>
      </c>
      <c r="AM18" s="3">
        <v>10000.0</v>
      </c>
      <c r="AN18" s="3">
        <v>10000.0</v>
      </c>
      <c r="AO18" s="3">
        <v>10000.0</v>
      </c>
      <c r="AP18" s="3">
        <v>10000.0</v>
      </c>
      <c r="AQ18" s="3">
        <v>10000.0</v>
      </c>
      <c r="AR18" s="3">
        <v>10000.0</v>
      </c>
      <c r="AS18" s="3">
        <v>10000.0</v>
      </c>
      <c r="AT18" s="3">
        <v>10000.0</v>
      </c>
      <c r="AU18" s="3">
        <v>10000.0</v>
      </c>
      <c r="AV18" s="3">
        <v>10000.0</v>
      </c>
      <c r="AW18" s="3">
        <v>10000.0</v>
      </c>
      <c r="AX18" s="3">
        <v>10000.0</v>
      </c>
      <c r="AY18" s="3">
        <v>10000.0</v>
      </c>
      <c r="AZ18" s="3">
        <v>10000.0</v>
      </c>
      <c r="BA18" s="3">
        <v>10000.0</v>
      </c>
      <c r="BB18" s="3">
        <v>10000.0</v>
      </c>
      <c r="BC18" s="3">
        <v>10000.0</v>
      </c>
      <c r="BD18" s="3">
        <v>10000.0</v>
      </c>
      <c r="BE18" s="3">
        <v>10000.0</v>
      </c>
      <c r="BF18" s="3">
        <v>10000.0</v>
      </c>
      <c r="BG18" s="3">
        <v>10000.0</v>
      </c>
      <c r="BH18" s="3">
        <v>10000.0</v>
      </c>
      <c r="BI18" s="3">
        <v>10000.0</v>
      </c>
      <c r="BJ18" s="3">
        <v>10000.0</v>
      </c>
      <c r="BK18" s="3">
        <v>10000.0</v>
      </c>
      <c r="BL18" s="3">
        <v>10000.0</v>
      </c>
    </row>
    <row r="19" ht="14.25" customHeight="1">
      <c r="A19" s="6"/>
      <c r="B19" s="3" t="s">
        <v>126</v>
      </c>
      <c r="D19" s="3">
        <v>12.0</v>
      </c>
      <c r="E19" s="81">
        <f t="shared" ref="E19:BL19" si="25">E16</f>
        <v>12.6</v>
      </c>
      <c r="F19" s="81">
        <f t="shared" si="25"/>
        <v>12.6</v>
      </c>
      <c r="G19" s="81">
        <f t="shared" si="25"/>
        <v>12.6</v>
      </c>
      <c r="H19" s="81">
        <f t="shared" si="25"/>
        <v>12.6</v>
      </c>
      <c r="I19" s="81">
        <f t="shared" si="25"/>
        <v>12.6</v>
      </c>
      <c r="J19" s="81">
        <f t="shared" si="25"/>
        <v>12.6</v>
      </c>
      <c r="K19" s="81">
        <f t="shared" si="25"/>
        <v>12.6</v>
      </c>
      <c r="L19" s="81">
        <f t="shared" si="25"/>
        <v>12.6</v>
      </c>
      <c r="M19" s="81">
        <f t="shared" si="25"/>
        <v>12.6</v>
      </c>
      <c r="N19" s="81">
        <f t="shared" si="25"/>
        <v>12.6</v>
      </c>
      <c r="O19" s="81">
        <f t="shared" si="25"/>
        <v>12.6</v>
      </c>
      <c r="P19" s="81">
        <f t="shared" si="25"/>
        <v>12.6</v>
      </c>
      <c r="Q19" s="81">
        <f t="shared" si="25"/>
        <v>13.23</v>
      </c>
      <c r="R19" s="81">
        <f t="shared" si="25"/>
        <v>13.23</v>
      </c>
      <c r="S19" s="81">
        <f t="shared" si="25"/>
        <v>13.23</v>
      </c>
      <c r="T19" s="81">
        <f t="shared" si="25"/>
        <v>13.23</v>
      </c>
      <c r="U19" s="81">
        <f t="shared" si="25"/>
        <v>13.23</v>
      </c>
      <c r="V19" s="81">
        <f t="shared" si="25"/>
        <v>13.23</v>
      </c>
      <c r="W19" s="81">
        <f t="shared" si="25"/>
        <v>13.23</v>
      </c>
      <c r="X19" s="81">
        <f t="shared" si="25"/>
        <v>13.23</v>
      </c>
      <c r="Y19" s="81">
        <f t="shared" si="25"/>
        <v>13.23</v>
      </c>
      <c r="Z19" s="81">
        <f t="shared" si="25"/>
        <v>13.23</v>
      </c>
      <c r="AA19" s="81">
        <f t="shared" si="25"/>
        <v>13.23</v>
      </c>
      <c r="AB19" s="81">
        <f t="shared" si="25"/>
        <v>13.23</v>
      </c>
      <c r="AC19" s="81">
        <f t="shared" si="25"/>
        <v>13.8915</v>
      </c>
      <c r="AD19" s="81">
        <f t="shared" si="25"/>
        <v>13.8915</v>
      </c>
      <c r="AE19" s="81">
        <f t="shared" si="25"/>
        <v>13.8915</v>
      </c>
      <c r="AF19" s="81">
        <f t="shared" si="25"/>
        <v>13.8915</v>
      </c>
      <c r="AG19" s="81">
        <f t="shared" si="25"/>
        <v>13.8915</v>
      </c>
      <c r="AH19" s="81">
        <f t="shared" si="25"/>
        <v>13.8915</v>
      </c>
      <c r="AI19" s="81">
        <f t="shared" si="25"/>
        <v>13.8915</v>
      </c>
      <c r="AJ19" s="81">
        <f t="shared" si="25"/>
        <v>13.8915</v>
      </c>
      <c r="AK19" s="81">
        <f t="shared" si="25"/>
        <v>13.8915</v>
      </c>
      <c r="AL19" s="81">
        <f t="shared" si="25"/>
        <v>13.8915</v>
      </c>
      <c r="AM19" s="81">
        <f t="shared" si="25"/>
        <v>13.8915</v>
      </c>
      <c r="AN19" s="81">
        <f t="shared" si="25"/>
        <v>13.8915</v>
      </c>
      <c r="AO19" s="81">
        <f t="shared" si="25"/>
        <v>14.586075</v>
      </c>
      <c r="AP19" s="81">
        <f t="shared" si="25"/>
        <v>14.586075</v>
      </c>
      <c r="AQ19" s="81">
        <f t="shared" si="25"/>
        <v>14.586075</v>
      </c>
      <c r="AR19" s="81">
        <f t="shared" si="25"/>
        <v>14.586075</v>
      </c>
      <c r="AS19" s="81">
        <f t="shared" si="25"/>
        <v>14.586075</v>
      </c>
      <c r="AT19" s="81">
        <f t="shared" si="25"/>
        <v>14.586075</v>
      </c>
      <c r="AU19" s="81">
        <f t="shared" si="25"/>
        <v>14.586075</v>
      </c>
      <c r="AV19" s="81">
        <f t="shared" si="25"/>
        <v>14.586075</v>
      </c>
      <c r="AW19" s="81">
        <f t="shared" si="25"/>
        <v>14.586075</v>
      </c>
      <c r="AX19" s="81">
        <f t="shared" si="25"/>
        <v>14.586075</v>
      </c>
      <c r="AY19" s="81">
        <f t="shared" si="25"/>
        <v>14.586075</v>
      </c>
      <c r="AZ19" s="81">
        <f t="shared" si="25"/>
        <v>14.586075</v>
      </c>
      <c r="BA19" s="81">
        <f t="shared" si="25"/>
        <v>15.31537875</v>
      </c>
      <c r="BB19" s="81">
        <f t="shared" si="25"/>
        <v>15.31537875</v>
      </c>
      <c r="BC19" s="81">
        <f t="shared" si="25"/>
        <v>15.31537875</v>
      </c>
      <c r="BD19" s="81">
        <f t="shared" si="25"/>
        <v>15.31537875</v>
      </c>
      <c r="BE19" s="81">
        <f t="shared" si="25"/>
        <v>15.31537875</v>
      </c>
      <c r="BF19" s="81">
        <f t="shared" si="25"/>
        <v>15.31537875</v>
      </c>
      <c r="BG19" s="81">
        <f t="shared" si="25"/>
        <v>15.31537875</v>
      </c>
      <c r="BH19" s="81">
        <f t="shared" si="25"/>
        <v>15.31537875</v>
      </c>
      <c r="BI19" s="81">
        <f t="shared" si="25"/>
        <v>15.31537875</v>
      </c>
      <c r="BJ19" s="81">
        <f t="shared" si="25"/>
        <v>15.31537875</v>
      </c>
      <c r="BK19" s="81">
        <f t="shared" si="25"/>
        <v>15.31537875</v>
      </c>
      <c r="BL19" s="81">
        <f t="shared" si="25"/>
        <v>15.31537875</v>
      </c>
    </row>
    <row r="20" ht="14.25" customHeight="1">
      <c r="A20" s="83"/>
      <c r="B20" s="84" t="s">
        <v>127</v>
      </c>
      <c r="C20" s="85"/>
      <c r="D20" s="85"/>
      <c r="E20" s="86">
        <f t="shared" ref="E20:BL20" si="26">( E18*E19)/12</f>
        <v>10500</v>
      </c>
      <c r="F20" s="86">
        <f t="shared" si="26"/>
        <v>10500</v>
      </c>
      <c r="G20" s="86">
        <f t="shared" si="26"/>
        <v>10500</v>
      </c>
      <c r="H20" s="86">
        <f t="shared" si="26"/>
        <v>10500</v>
      </c>
      <c r="I20" s="86">
        <f t="shared" si="26"/>
        <v>10500</v>
      </c>
      <c r="J20" s="86">
        <f t="shared" si="26"/>
        <v>10500</v>
      </c>
      <c r="K20" s="86">
        <f t="shared" si="26"/>
        <v>10500</v>
      </c>
      <c r="L20" s="86">
        <f t="shared" si="26"/>
        <v>10500</v>
      </c>
      <c r="M20" s="86">
        <f t="shared" si="26"/>
        <v>10500</v>
      </c>
      <c r="N20" s="86">
        <f t="shared" si="26"/>
        <v>10500</v>
      </c>
      <c r="O20" s="86">
        <f t="shared" si="26"/>
        <v>10500</v>
      </c>
      <c r="P20" s="86">
        <f t="shared" si="26"/>
        <v>10500</v>
      </c>
      <c r="Q20" s="86">
        <f t="shared" si="26"/>
        <v>11025</v>
      </c>
      <c r="R20" s="86">
        <f t="shared" si="26"/>
        <v>11025</v>
      </c>
      <c r="S20" s="86">
        <f t="shared" si="26"/>
        <v>11025</v>
      </c>
      <c r="T20" s="86">
        <f t="shared" si="26"/>
        <v>11025</v>
      </c>
      <c r="U20" s="86">
        <f t="shared" si="26"/>
        <v>11025</v>
      </c>
      <c r="V20" s="86">
        <f t="shared" si="26"/>
        <v>11025</v>
      </c>
      <c r="W20" s="86">
        <f t="shared" si="26"/>
        <v>11025</v>
      </c>
      <c r="X20" s="86">
        <f t="shared" si="26"/>
        <v>11025</v>
      </c>
      <c r="Y20" s="86">
        <f t="shared" si="26"/>
        <v>11025</v>
      </c>
      <c r="Z20" s="86">
        <f t="shared" si="26"/>
        <v>11025</v>
      </c>
      <c r="AA20" s="86">
        <f t="shared" si="26"/>
        <v>11025</v>
      </c>
      <c r="AB20" s="86">
        <f t="shared" si="26"/>
        <v>11025</v>
      </c>
      <c r="AC20" s="86">
        <f t="shared" si="26"/>
        <v>11576.25</v>
      </c>
      <c r="AD20" s="86">
        <f t="shared" si="26"/>
        <v>11576.25</v>
      </c>
      <c r="AE20" s="86">
        <f t="shared" si="26"/>
        <v>11576.25</v>
      </c>
      <c r="AF20" s="86">
        <f t="shared" si="26"/>
        <v>11576.25</v>
      </c>
      <c r="AG20" s="86">
        <f t="shared" si="26"/>
        <v>11576.25</v>
      </c>
      <c r="AH20" s="86">
        <f t="shared" si="26"/>
        <v>11576.25</v>
      </c>
      <c r="AI20" s="86">
        <f t="shared" si="26"/>
        <v>11576.25</v>
      </c>
      <c r="AJ20" s="86">
        <f t="shared" si="26"/>
        <v>11576.25</v>
      </c>
      <c r="AK20" s="86">
        <f t="shared" si="26"/>
        <v>11576.25</v>
      </c>
      <c r="AL20" s="86">
        <f t="shared" si="26"/>
        <v>11576.25</v>
      </c>
      <c r="AM20" s="86">
        <f t="shared" si="26"/>
        <v>11576.25</v>
      </c>
      <c r="AN20" s="86">
        <f t="shared" si="26"/>
        <v>11576.25</v>
      </c>
      <c r="AO20" s="86">
        <f t="shared" si="26"/>
        <v>12155.0625</v>
      </c>
      <c r="AP20" s="86">
        <f t="shared" si="26"/>
        <v>12155.0625</v>
      </c>
      <c r="AQ20" s="86">
        <f t="shared" si="26"/>
        <v>12155.0625</v>
      </c>
      <c r="AR20" s="86">
        <f t="shared" si="26"/>
        <v>12155.0625</v>
      </c>
      <c r="AS20" s="86">
        <f t="shared" si="26"/>
        <v>12155.0625</v>
      </c>
      <c r="AT20" s="86">
        <f t="shared" si="26"/>
        <v>12155.0625</v>
      </c>
      <c r="AU20" s="86">
        <f t="shared" si="26"/>
        <v>12155.0625</v>
      </c>
      <c r="AV20" s="86">
        <f t="shared" si="26"/>
        <v>12155.0625</v>
      </c>
      <c r="AW20" s="86">
        <f t="shared" si="26"/>
        <v>12155.0625</v>
      </c>
      <c r="AX20" s="86">
        <f t="shared" si="26"/>
        <v>12155.0625</v>
      </c>
      <c r="AY20" s="86">
        <f t="shared" si="26"/>
        <v>12155.0625</v>
      </c>
      <c r="AZ20" s="86">
        <f t="shared" si="26"/>
        <v>12155.0625</v>
      </c>
      <c r="BA20" s="86">
        <f t="shared" si="26"/>
        <v>12762.81563</v>
      </c>
      <c r="BB20" s="86">
        <f t="shared" si="26"/>
        <v>12762.81563</v>
      </c>
      <c r="BC20" s="86">
        <f t="shared" si="26"/>
        <v>12762.81563</v>
      </c>
      <c r="BD20" s="86">
        <f t="shared" si="26"/>
        <v>12762.81563</v>
      </c>
      <c r="BE20" s="86">
        <f t="shared" si="26"/>
        <v>12762.81563</v>
      </c>
      <c r="BF20" s="86">
        <f t="shared" si="26"/>
        <v>12762.81563</v>
      </c>
      <c r="BG20" s="86">
        <f t="shared" si="26"/>
        <v>12762.81563</v>
      </c>
      <c r="BH20" s="86">
        <f t="shared" si="26"/>
        <v>12762.81563</v>
      </c>
      <c r="BI20" s="86">
        <f t="shared" si="26"/>
        <v>12762.81563</v>
      </c>
      <c r="BJ20" s="86">
        <f t="shared" si="26"/>
        <v>12762.81563</v>
      </c>
      <c r="BK20" s="86">
        <f t="shared" si="26"/>
        <v>12762.81563</v>
      </c>
      <c r="BL20" s="86">
        <f t="shared" si="26"/>
        <v>12762.81563</v>
      </c>
    </row>
    <row r="21" ht="14.25" customHeight="1">
      <c r="A21" s="80" t="s">
        <v>132</v>
      </c>
      <c r="B21" s="3" t="s">
        <v>125</v>
      </c>
      <c r="E21" s="3">
        <v>6000.0</v>
      </c>
      <c r="F21" s="3">
        <v>6000.0</v>
      </c>
      <c r="G21" s="3">
        <v>6000.0</v>
      </c>
      <c r="H21" s="3">
        <v>6000.0</v>
      </c>
      <c r="I21" s="3">
        <v>6000.0</v>
      </c>
      <c r="J21" s="3">
        <v>6000.0</v>
      </c>
      <c r="K21" s="3">
        <v>6000.0</v>
      </c>
      <c r="L21" s="3">
        <v>6000.0</v>
      </c>
      <c r="M21" s="3">
        <v>6000.0</v>
      </c>
      <c r="N21" s="3">
        <v>6000.0</v>
      </c>
      <c r="O21" s="3">
        <v>6000.0</v>
      </c>
      <c r="P21" s="3">
        <v>6000.0</v>
      </c>
      <c r="Q21" s="3">
        <v>6000.0</v>
      </c>
      <c r="R21" s="3">
        <v>6000.0</v>
      </c>
      <c r="S21" s="3">
        <v>6000.0</v>
      </c>
      <c r="T21" s="3">
        <v>6000.0</v>
      </c>
      <c r="U21" s="3">
        <v>6000.0</v>
      </c>
      <c r="V21" s="3">
        <v>6000.0</v>
      </c>
      <c r="W21" s="3">
        <v>6000.0</v>
      </c>
      <c r="X21" s="3">
        <v>6000.0</v>
      </c>
      <c r="Y21" s="3">
        <v>6000.0</v>
      </c>
      <c r="Z21" s="3">
        <v>6000.0</v>
      </c>
      <c r="AA21" s="3">
        <v>6000.0</v>
      </c>
      <c r="AB21" s="3">
        <v>6000.0</v>
      </c>
      <c r="AC21" s="3">
        <v>6000.0</v>
      </c>
      <c r="AD21" s="3">
        <v>6000.0</v>
      </c>
      <c r="AE21" s="3">
        <v>6000.0</v>
      </c>
      <c r="AF21" s="3">
        <v>6000.0</v>
      </c>
      <c r="AG21" s="3">
        <v>6000.0</v>
      </c>
      <c r="AH21" s="3">
        <v>6000.0</v>
      </c>
      <c r="AI21" s="3">
        <v>6000.0</v>
      </c>
      <c r="AJ21" s="3">
        <v>6000.0</v>
      </c>
      <c r="AK21" s="3">
        <v>6000.0</v>
      </c>
      <c r="AL21" s="3">
        <v>6000.0</v>
      </c>
      <c r="AM21" s="3">
        <v>6000.0</v>
      </c>
      <c r="AN21" s="3">
        <v>6000.0</v>
      </c>
      <c r="AO21" s="3">
        <v>6000.0</v>
      </c>
      <c r="AP21" s="3">
        <v>6000.0</v>
      </c>
      <c r="AQ21" s="3">
        <v>6000.0</v>
      </c>
      <c r="AR21" s="3">
        <v>6000.0</v>
      </c>
      <c r="AS21" s="3">
        <v>6000.0</v>
      </c>
      <c r="AT21" s="3">
        <v>6000.0</v>
      </c>
      <c r="AU21" s="3">
        <v>6000.0</v>
      </c>
      <c r="AV21" s="3">
        <v>6000.0</v>
      </c>
      <c r="AW21" s="3">
        <v>6000.0</v>
      </c>
      <c r="AX21" s="3">
        <v>6000.0</v>
      </c>
      <c r="AY21" s="3">
        <v>6000.0</v>
      </c>
      <c r="AZ21" s="3">
        <v>6000.0</v>
      </c>
      <c r="BA21" s="3">
        <v>6000.0</v>
      </c>
      <c r="BB21" s="3">
        <v>6000.0</v>
      </c>
      <c r="BC21" s="3">
        <v>6000.0</v>
      </c>
      <c r="BD21" s="3">
        <v>6000.0</v>
      </c>
      <c r="BE21" s="3">
        <v>6000.0</v>
      </c>
      <c r="BF21" s="3">
        <v>6000.0</v>
      </c>
      <c r="BG21" s="3">
        <v>6000.0</v>
      </c>
      <c r="BH21" s="3">
        <v>6000.0</v>
      </c>
      <c r="BI21" s="3">
        <v>6000.0</v>
      </c>
      <c r="BJ21" s="3">
        <v>6000.0</v>
      </c>
      <c r="BK21" s="3">
        <v>6000.0</v>
      </c>
      <c r="BL21" s="3">
        <v>6000.0</v>
      </c>
    </row>
    <row r="22" ht="14.25" customHeight="1">
      <c r="A22" s="6"/>
      <c r="B22" s="3" t="s">
        <v>126</v>
      </c>
      <c r="D22" s="3">
        <v>0.0</v>
      </c>
      <c r="E22" s="3">
        <v>0.0</v>
      </c>
      <c r="F22" s="3">
        <v>0.0</v>
      </c>
      <c r="G22" s="3">
        <v>0.0</v>
      </c>
      <c r="H22" s="3">
        <v>0.0</v>
      </c>
      <c r="I22" s="3">
        <v>0.0</v>
      </c>
      <c r="J22" s="3">
        <v>0.0</v>
      </c>
      <c r="K22" s="3">
        <v>0.0</v>
      </c>
      <c r="L22" s="3">
        <v>0.0</v>
      </c>
      <c r="M22" s="3">
        <v>0.0</v>
      </c>
      <c r="N22" s="3">
        <v>0.0</v>
      </c>
      <c r="O22" s="3">
        <v>0.0</v>
      </c>
      <c r="P22" s="3">
        <v>0.0</v>
      </c>
      <c r="Q22" s="3">
        <v>0.0</v>
      </c>
      <c r="R22" s="3">
        <v>0.0</v>
      </c>
      <c r="S22" s="3">
        <v>0.0</v>
      </c>
      <c r="T22" s="3">
        <v>0.0</v>
      </c>
      <c r="U22" s="3">
        <v>0.0</v>
      </c>
      <c r="V22" s="3">
        <v>0.0</v>
      </c>
      <c r="W22" s="3">
        <v>0.0</v>
      </c>
      <c r="X22" s="3">
        <v>0.0</v>
      </c>
      <c r="Y22" s="3">
        <v>0.0</v>
      </c>
      <c r="Z22" s="3">
        <v>0.0</v>
      </c>
      <c r="AA22" s="3">
        <v>0.0</v>
      </c>
      <c r="AB22" s="3">
        <v>0.0</v>
      </c>
      <c r="AC22" s="3">
        <v>0.0</v>
      </c>
      <c r="AD22" s="3">
        <v>0.0</v>
      </c>
      <c r="AE22" s="3">
        <v>0.0</v>
      </c>
      <c r="AF22" s="3">
        <v>0.0</v>
      </c>
      <c r="AG22" s="3">
        <v>0.0</v>
      </c>
      <c r="AH22" s="3">
        <v>0.0</v>
      </c>
      <c r="AI22" s="3">
        <v>0.0</v>
      </c>
      <c r="AJ22" s="3">
        <v>0.0</v>
      </c>
      <c r="AK22" s="3">
        <v>0.0</v>
      </c>
      <c r="AL22" s="3">
        <v>0.0</v>
      </c>
      <c r="AM22" s="3">
        <v>0.0</v>
      </c>
      <c r="AN22" s="3">
        <v>0.0</v>
      </c>
      <c r="AO22" s="3">
        <v>0.0</v>
      </c>
      <c r="AP22" s="3">
        <v>0.0</v>
      </c>
      <c r="AQ22" s="3">
        <v>0.0</v>
      </c>
      <c r="AR22" s="3">
        <v>0.0</v>
      </c>
      <c r="AS22" s="3">
        <v>0.0</v>
      </c>
      <c r="AT22" s="3">
        <v>0.0</v>
      </c>
      <c r="AU22" s="3">
        <v>0.0</v>
      </c>
      <c r="AV22" s="3">
        <v>0.0</v>
      </c>
      <c r="AW22" s="3">
        <v>0.0</v>
      </c>
      <c r="AX22" s="3">
        <v>0.0</v>
      </c>
      <c r="AY22" s="3">
        <v>0.0</v>
      </c>
      <c r="AZ22" s="3">
        <v>0.0</v>
      </c>
      <c r="BA22" s="3">
        <v>0.0</v>
      </c>
      <c r="BB22" s="3">
        <v>0.0</v>
      </c>
      <c r="BC22" s="3">
        <v>0.0</v>
      </c>
      <c r="BD22" s="3">
        <v>0.0</v>
      </c>
      <c r="BE22" s="3">
        <v>0.0</v>
      </c>
      <c r="BF22" s="3">
        <v>0.0</v>
      </c>
      <c r="BG22" s="3">
        <v>0.0</v>
      </c>
      <c r="BH22" s="3">
        <v>0.0</v>
      </c>
      <c r="BI22" s="3">
        <v>0.0</v>
      </c>
      <c r="BJ22" s="3">
        <v>0.0</v>
      </c>
      <c r="BK22" s="3">
        <v>0.0</v>
      </c>
      <c r="BL22" s="3">
        <v>0.0</v>
      </c>
    </row>
    <row r="23" ht="14.25" customHeight="1">
      <c r="A23" s="83"/>
      <c r="B23" s="84" t="s">
        <v>127</v>
      </c>
      <c r="C23" s="85"/>
      <c r="D23" s="85"/>
      <c r="E23" s="85">
        <f t="shared" ref="E23:BL23" si="27">(E21*E22)/12</f>
        <v>0</v>
      </c>
      <c r="F23" s="85">
        <f t="shared" si="27"/>
        <v>0</v>
      </c>
      <c r="G23" s="85">
        <f t="shared" si="27"/>
        <v>0</v>
      </c>
      <c r="H23" s="85">
        <f t="shared" si="27"/>
        <v>0</v>
      </c>
      <c r="I23" s="85">
        <f t="shared" si="27"/>
        <v>0</v>
      </c>
      <c r="J23" s="85">
        <f t="shared" si="27"/>
        <v>0</v>
      </c>
      <c r="K23" s="85">
        <f t="shared" si="27"/>
        <v>0</v>
      </c>
      <c r="L23" s="85">
        <f t="shared" si="27"/>
        <v>0</v>
      </c>
      <c r="M23" s="85">
        <f t="shared" si="27"/>
        <v>0</v>
      </c>
      <c r="N23" s="85">
        <f t="shared" si="27"/>
        <v>0</v>
      </c>
      <c r="O23" s="85">
        <f t="shared" si="27"/>
        <v>0</v>
      </c>
      <c r="P23" s="85">
        <f t="shared" si="27"/>
        <v>0</v>
      </c>
      <c r="Q23" s="85">
        <f t="shared" si="27"/>
        <v>0</v>
      </c>
      <c r="R23" s="85">
        <f t="shared" si="27"/>
        <v>0</v>
      </c>
      <c r="S23" s="85">
        <f t="shared" si="27"/>
        <v>0</v>
      </c>
      <c r="T23" s="85">
        <f t="shared" si="27"/>
        <v>0</v>
      </c>
      <c r="U23" s="85">
        <f t="shared" si="27"/>
        <v>0</v>
      </c>
      <c r="V23" s="85">
        <f t="shared" si="27"/>
        <v>0</v>
      </c>
      <c r="W23" s="85">
        <f t="shared" si="27"/>
        <v>0</v>
      </c>
      <c r="X23" s="85">
        <f t="shared" si="27"/>
        <v>0</v>
      </c>
      <c r="Y23" s="85">
        <f t="shared" si="27"/>
        <v>0</v>
      </c>
      <c r="Z23" s="85">
        <f t="shared" si="27"/>
        <v>0</v>
      </c>
      <c r="AA23" s="85">
        <f t="shared" si="27"/>
        <v>0</v>
      </c>
      <c r="AB23" s="85">
        <f t="shared" si="27"/>
        <v>0</v>
      </c>
      <c r="AC23" s="85">
        <f t="shared" si="27"/>
        <v>0</v>
      </c>
      <c r="AD23" s="85">
        <f t="shared" si="27"/>
        <v>0</v>
      </c>
      <c r="AE23" s="85">
        <f t="shared" si="27"/>
        <v>0</v>
      </c>
      <c r="AF23" s="85">
        <f t="shared" si="27"/>
        <v>0</v>
      </c>
      <c r="AG23" s="85">
        <f t="shared" si="27"/>
        <v>0</v>
      </c>
      <c r="AH23" s="85">
        <f t="shared" si="27"/>
        <v>0</v>
      </c>
      <c r="AI23" s="85">
        <f t="shared" si="27"/>
        <v>0</v>
      </c>
      <c r="AJ23" s="85">
        <f t="shared" si="27"/>
        <v>0</v>
      </c>
      <c r="AK23" s="85">
        <f t="shared" si="27"/>
        <v>0</v>
      </c>
      <c r="AL23" s="85">
        <f t="shared" si="27"/>
        <v>0</v>
      </c>
      <c r="AM23" s="85">
        <f t="shared" si="27"/>
        <v>0</v>
      </c>
      <c r="AN23" s="85">
        <f t="shared" si="27"/>
        <v>0</v>
      </c>
      <c r="AO23" s="85">
        <f t="shared" si="27"/>
        <v>0</v>
      </c>
      <c r="AP23" s="85">
        <f t="shared" si="27"/>
        <v>0</v>
      </c>
      <c r="AQ23" s="85">
        <f t="shared" si="27"/>
        <v>0</v>
      </c>
      <c r="AR23" s="85">
        <f t="shared" si="27"/>
        <v>0</v>
      </c>
      <c r="AS23" s="85">
        <f t="shared" si="27"/>
        <v>0</v>
      </c>
      <c r="AT23" s="85">
        <f t="shared" si="27"/>
        <v>0</v>
      </c>
      <c r="AU23" s="85">
        <f t="shared" si="27"/>
        <v>0</v>
      </c>
      <c r="AV23" s="85">
        <f t="shared" si="27"/>
        <v>0</v>
      </c>
      <c r="AW23" s="85">
        <f t="shared" si="27"/>
        <v>0</v>
      </c>
      <c r="AX23" s="85">
        <f t="shared" si="27"/>
        <v>0</v>
      </c>
      <c r="AY23" s="85">
        <f t="shared" si="27"/>
        <v>0</v>
      </c>
      <c r="AZ23" s="85">
        <f t="shared" si="27"/>
        <v>0</v>
      </c>
      <c r="BA23" s="85">
        <f t="shared" si="27"/>
        <v>0</v>
      </c>
      <c r="BB23" s="85">
        <f t="shared" si="27"/>
        <v>0</v>
      </c>
      <c r="BC23" s="85">
        <f t="shared" si="27"/>
        <v>0</v>
      </c>
      <c r="BD23" s="85">
        <f t="shared" si="27"/>
        <v>0</v>
      </c>
      <c r="BE23" s="85">
        <f t="shared" si="27"/>
        <v>0</v>
      </c>
      <c r="BF23" s="85">
        <f t="shared" si="27"/>
        <v>0</v>
      </c>
      <c r="BG23" s="85">
        <f t="shared" si="27"/>
        <v>0</v>
      </c>
      <c r="BH23" s="85">
        <f t="shared" si="27"/>
        <v>0</v>
      </c>
      <c r="BI23" s="85">
        <f t="shared" si="27"/>
        <v>0</v>
      </c>
      <c r="BJ23" s="85">
        <f t="shared" si="27"/>
        <v>0</v>
      </c>
      <c r="BK23" s="85">
        <f t="shared" si="27"/>
        <v>0</v>
      </c>
      <c r="BL23" s="85">
        <f t="shared" si="27"/>
        <v>0</v>
      </c>
    </row>
    <row r="24" ht="14.25" customHeight="1">
      <c r="A24" s="80" t="s">
        <v>133</v>
      </c>
      <c r="B24" s="79"/>
      <c r="C24" s="87"/>
      <c r="D24" s="87"/>
      <c r="E24" s="88">
        <f t="shared" ref="E24:BL24" si="28">E8+E11+E14+E17+E20+E23</f>
        <v>49890.20833</v>
      </c>
      <c r="F24" s="88">
        <f t="shared" si="28"/>
        <v>49890.20833</v>
      </c>
      <c r="G24" s="88">
        <f t="shared" si="28"/>
        <v>49890.20833</v>
      </c>
      <c r="H24" s="88">
        <f t="shared" si="28"/>
        <v>49890.20833</v>
      </c>
      <c r="I24" s="88">
        <f t="shared" si="28"/>
        <v>49890.20833</v>
      </c>
      <c r="J24" s="88">
        <f t="shared" si="28"/>
        <v>49890.20833</v>
      </c>
      <c r="K24" s="88">
        <f t="shared" si="28"/>
        <v>49890.20833</v>
      </c>
      <c r="L24" s="88">
        <f t="shared" si="28"/>
        <v>49890.20833</v>
      </c>
      <c r="M24" s="88">
        <f t="shared" si="28"/>
        <v>49890.20833</v>
      </c>
      <c r="N24" s="88">
        <f t="shared" si="28"/>
        <v>49890.20833</v>
      </c>
      <c r="O24" s="88">
        <f t="shared" si="28"/>
        <v>49890.20833</v>
      </c>
      <c r="P24" s="88">
        <f t="shared" si="28"/>
        <v>49890.20833</v>
      </c>
      <c r="Q24" s="88">
        <f t="shared" si="28"/>
        <v>51701.91458</v>
      </c>
      <c r="R24" s="88">
        <f t="shared" si="28"/>
        <v>51701.91458</v>
      </c>
      <c r="S24" s="88">
        <f t="shared" si="28"/>
        <v>51701.91458</v>
      </c>
      <c r="T24" s="88">
        <f t="shared" si="28"/>
        <v>51701.91458</v>
      </c>
      <c r="U24" s="88">
        <f t="shared" si="28"/>
        <v>51701.91458</v>
      </c>
      <c r="V24" s="88">
        <f t="shared" si="28"/>
        <v>51701.91458</v>
      </c>
      <c r="W24" s="88">
        <f t="shared" si="28"/>
        <v>51701.91458</v>
      </c>
      <c r="X24" s="88">
        <f t="shared" si="28"/>
        <v>51701.91458</v>
      </c>
      <c r="Y24" s="88">
        <f t="shared" si="28"/>
        <v>51701.91458</v>
      </c>
      <c r="Z24" s="88">
        <f t="shared" si="28"/>
        <v>51701.91458</v>
      </c>
      <c r="AA24" s="88">
        <f t="shared" si="28"/>
        <v>51701.91458</v>
      </c>
      <c r="AB24" s="88">
        <f t="shared" si="28"/>
        <v>51701.91458</v>
      </c>
      <c r="AC24" s="88">
        <f t="shared" si="28"/>
        <v>53583.72202</v>
      </c>
      <c r="AD24" s="88">
        <f t="shared" si="28"/>
        <v>53583.72202</v>
      </c>
      <c r="AE24" s="88">
        <f t="shared" si="28"/>
        <v>53583.72202</v>
      </c>
      <c r="AF24" s="88">
        <f t="shared" si="28"/>
        <v>53583.72202</v>
      </c>
      <c r="AG24" s="88">
        <f t="shared" si="28"/>
        <v>53583.72202</v>
      </c>
      <c r="AH24" s="88">
        <f t="shared" si="28"/>
        <v>53583.72202</v>
      </c>
      <c r="AI24" s="88">
        <f t="shared" si="28"/>
        <v>53583.72202</v>
      </c>
      <c r="AJ24" s="88">
        <f t="shared" si="28"/>
        <v>53583.72202</v>
      </c>
      <c r="AK24" s="88">
        <f t="shared" si="28"/>
        <v>53583.72202</v>
      </c>
      <c r="AL24" s="88">
        <f t="shared" si="28"/>
        <v>53583.72202</v>
      </c>
      <c r="AM24" s="88">
        <f t="shared" si="28"/>
        <v>53583.72202</v>
      </c>
      <c r="AN24" s="88">
        <f t="shared" si="28"/>
        <v>53583.72202</v>
      </c>
      <c r="AO24" s="88">
        <f t="shared" si="28"/>
        <v>55538.52118</v>
      </c>
      <c r="AP24" s="88">
        <f t="shared" si="28"/>
        <v>55538.52118</v>
      </c>
      <c r="AQ24" s="88">
        <f t="shared" si="28"/>
        <v>55538.52118</v>
      </c>
      <c r="AR24" s="88">
        <f t="shared" si="28"/>
        <v>55538.52118</v>
      </c>
      <c r="AS24" s="88">
        <f t="shared" si="28"/>
        <v>55538.52118</v>
      </c>
      <c r="AT24" s="88">
        <f t="shared" si="28"/>
        <v>55538.52118</v>
      </c>
      <c r="AU24" s="88">
        <f t="shared" si="28"/>
        <v>55538.52118</v>
      </c>
      <c r="AV24" s="88">
        <f t="shared" si="28"/>
        <v>55538.52118</v>
      </c>
      <c r="AW24" s="88">
        <f t="shared" si="28"/>
        <v>55538.52118</v>
      </c>
      <c r="AX24" s="88">
        <f t="shared" si="28"/>
        <v>55538.52118</v>
      </c>
      <c r="AY24" s="88">
        <f t="shared" si="28"/>
        <v>55538.52118</v>
      </c>
      <c r="AZ24" s="88">
        <f t="shared" si="28"/>
        <v>55538.52118</v>
      </c>
      <c r="BA24" s="88">
        <f t="shared" si="28"/>
        <v>57569.32869</v>
      </c>
      <c r="BB24" s="88">
        <f t="shared" si="28"/>
        <v>57569.32869</v>
      </c>
      <c r="BC24" s="88">
        <f t="shared" si="28"/>
        <v>57569.32869</v>
      </c>
      <c r="BD24" s="88">
        <f t="shared" si="28"/>
        <v>57569.32869</v>
      </c>
      <c r="BE24" s="88">
        <f t="shared" si="28"/>
        <v>57569.32869</v>
      </c>
      <c r="BF24" s="88">
        <f t="shared" si="28"/>
        <v>57569.32869</v>
      </c>
      <c r="BG24" s="88">
        <f t="shared" si="28"/>
        <v>57569.32869</v>
      </c>
      <c r="BH24" s="88">
        <f t="shared" si="28"/>
        <v>57569.32869</v>
      </c>
      <c r="BI24" s="88">
        <f t="shared" si="28"/>
        <v>57569.32869</v>
      </c>
      <c r="BJ24" s="88">
        <f t="shared" si="28"/>
        <v>57569.32869</v>
      </c>
      <c r="BK24" s="88">
        <f t="shared" si="28"/>
        <v>57569.32869</v>
      </c>
      <c r="BL24" s="88">
        <f t="shared" si="28"/>
        <v>57569.32869</v>
      </c>
    </row>
    <row r="25" ht="14.25" customHeight="1">
      <c r="A25" s="80" t="s">
        <v>134</v>
      </c>
      <c r="B25" s="3"/>
      <c r="E25" s="74">
        <v>0.0</v>
      </c>
      <c r="F25" s="74">
        <v>0.0</v>
      </c>
      <c r="G25" s="74">
        <v>0.0</v>
      </c>
      <c r="H25" s="74">
        <v>0.0</v>
      </c>
      <c r="I25" s="74">
        <v>0.0</v>
      </c>
      <c r="J25" s="74">
        <v>0.0</v>
      </c>
      <c r="K25" s="74">
        <v>0.0</v>
      </c>
      <c r="L25" s="74">
        <v>0.0</v>
      </c>
      <c r="M25" s="74">
        <v>0.0</v>
      </c>
      <c r="N25" s="74">
        <v>0.0</v>
      </c>
      <c r="O25" s="74">
        <v>0.0</v>
      </c>
      <c r="P25" s="74">
        <v>0.0</v>
      </c>
      <c r="Q25" s="74">
        <v>0.0</v>
      </c>
      <c r="R25" s="74">
        <v>0.0</v>
      </c>
      <c r="S25" s="74">
        <v>0.0</v>
      </c>
      <c r="T25" s="74">
        <v>0.0</v>
      </c>
      <c r="U25" s="74">
        <v>0.0</v>
      </c>
      <c r="V25" s="74">
        <v>0.0</v>
      </c>
      <c r="W25" s="74">
        <v>0.0</v>
      </c>
      <c r="X25" s="74">
        <v>0.0</v>
      </c>
      <c r="Y25" s="74">
        <v>0.0</v>
      </c>
      <c r="Z25" s="74">
        <v>0.0</v>
      </c>
      <c r="AA25" s="74">
        <v>0.0</v>
      </c>
      <c r="AB25" s="74">
        <v>0.0</v>
      </c>
      <c r="AC25" s="74">
        <v>0.0</v>
      </c>
      <c r="AD25" s="74">
        <v>0.0</v>
      </c>
      <c r="AE25" s="74">
        <v>0.0</v>
      </c>
      <c r="AF25" s="74">
        <v>0.0</v>
      </c>
      <c r="AG25" s="74">
        <v>0.0</v>
      </c>
      <c r="AH25" s="74">
        <v>0.0</v>
      </c>
      <c r="AI25" s="74">
        <v>0.0</v>
      </c>
      <c r="AJ25" s="74">
        <v>0.0</v>
      </c>
      <c r="AK25" s="74">
        <v>0.0</v>
      </c>
      <c r="AL25" s="74">
        <v>0.0</v>
      </c>
      <c r="AM25" s="74">
        <v>0.0</v>
      </c>
      <c r="AN25" s="74">
        <v>0.0</v>
      </c>
      <c r="AO25" s="74">
        <v>0.0</v>
      </c>
      <c r="AP25" s="74">
        <v>0.0</v>
      </c>
      <c r="AQ25" s="74">
        <v>0.0</v>
      </c>
      <c r="AR25" s="74">
        <v>0.0</v>
      </c>
      <c r="AS25" s="74">
        <v>0.0</v>
      </c>
      <c r="AT25" s="74">
        <v>0.0</v>
      </c>
      <c r="AU25" s="74">
        <v>0.0</v>
      </c>
      <c r="AV25" s="74">
        <v>0.0</v>
      </c>
      <c r="AW25" s="74">
        <v>0.0</v>
      </c>
      <c r="AX25" s="74">
        <v>0.0</v>
      </c>
      <c r="AY25" s="74">
        <v>0.0</v>
      </c>
      <c r="AZ25" s="74">
        <v>0.0</v>
      </c>
      <c r="BA25" s="74">
        <v>0.0</v>
      </c>
      <c r="BB25" s="74">
        <v>0.0</v>
      </c>
      <c r="BC25" s="74">
        <v>0.0</v>
      </c>
      <c r="BD25" s="74">
        <v>0.0</v>
      </c>
      <c r="BE25" s="74">
        <v>0.0</v>
      </c>
      <c r="BF25" s="74">
        <v>0.0</v>
      </c>
      <c r="BG25" s="74">
        <v>0.0</v>
      </c>
      <c r="BH25" s="74">
        <v>0.0</v>
      </c>
      <c r="BI25" s="74">
        <v>0.0</v>
      </c>
      <c r="BJ25" s="74">
        <v>0.0</v>
      </c>
      <c r="BK25" s="74">
        <v>0.0</v>
      </c>
      <c r="BL25" s="74">
        <v>0.0</v>
      </c>
    </row>
    <row r="26" ht="14.25" customHeight="1">
      <c r="A26" s="80" t="s">
        <v>135</v>
      </c>
      <c r="B26" s="3"/>
      <c r="E26" s="74">
        <v>0.0</v>
      </c>
      <c r="F26" s="74">
        <v>0.0</v>
      </c>
      <c r="G26" s="74">
        <v>0.0</v>
      </c>
      <c r="H26" s="74">
        <v>0.0</v>
      </c>
      <c r="I26" s="74">
        <v>0.0</v>
      </c>
      <c r="J26" s="74">
        <v>0.0</v>
      </c>
      <c r="K26" s="74">
        <v>0.0</v>
      </c>
      <c r="L26" s="74">
        <v>0.0</v>
      </c>
      <c r="M26" s="74">
        <v>0.0</v>
      </c>
      <c r="N26" s="74">
        <v>0.0</v>
      </c>
      <c r="O26" s="74">
        <v>0.0</v>
      </c>
      <c r="P26" s="74">
        <v>0.0</v>
      </c>
      <c r="Q26" s="74">
        <v>0.0</v>
      </c>
      <c r="R26" s="74">
        <v>0.0</v>
      </c>
      <c r="S26" s="74">
        <v>0.0</v>
      </c>
      <c r="T26" s="74">
        <v>0.0</v>
      </c>
      <c r="U26" s="74">
        <v>0.0</v>
      </c>
      <c r="V26" s="74">
        <v>0.0</v>
      </c>
      <c r="W26" s="74">
        <v>0.0</v>
      </c>
      <c r="X26" s="74">
        <v>0.0</v>
      </c>
      <c r="Y26" s="74">
        <v>0.0</v>
      </c>
      <c r="Z26" s="74">
        <v>0.0</v>
      </c>
      <c r="AA26" s="74">
        <v>0.0</v>
      </c>
      <c r="AB26" s="74">
        <v>0.0</v>
      </c>
      <c r="AC26" s="74">
        <v>0.0</v>
      </c>
      <c r="AD26" s="74">
        <v>0.0</v>
      </c>
      <c r="AE26" s="74">
        <v>0.0</v>
      </c>
      <c r="AF26" s="74">
        <v>0.0</v>
      </c>
      <c r="AG26" s="74">
        <v>0.0</v>
      </c>
      <c r="AH26" s="74">
        <v>0.0</v>
      </c>
      <c r="AI26" s="74">
        <v>0.0</v>
      </c>
      <c r="AJ26" s="74">
        <v>0.0</v>
      </c>
      <c r="AK26" s="74">
        <v>0.0</v>
      </c>
      <c r="AL26" s="74">
        <v>0.0</v>
      </c>
      <c r="AM26" s="74">
        <v>0.0</v>
      </c>
      <c r="AN26" s="74">
        <v>0.0</v>
      </c>
      <c r="AO26" s="74">
        <v>0.0</v>
      </c>
      <c r="AP26" s="74">
        <v>0.0</v>
      </c>
      <c r="AQ26" s="74">
        <v>0.0</v>
      </c>
      <c r="AR26" s="74">
        <v>0.0</v>
      </c>
      <c r="AS26" s="74">
        <v>0.0</v>
      </c>
      <c r="AT26" s="74">
        <v>0.0</v>
      </c>
      <c r="AU26" s="74">
        <v>0.0</v>
      </c>
      <c r="AV26" s="74">
        <v>0.0</v>
      </c>
      <c r="AW26" s="74">
        <v>0.0</v>
      </c>
      <c r="AX26" s="74">
        <v>0.0</v>
      </c>
      <c r="AY26" s="74">
        <v>0.0</v>
      </c>
      <c r="AZ26" s="74">
        <v>0.0</v>
      </c>
      <c r="BA26" s="74">
        <v>0.0</v>
      </c>
      <c r="BB26" s="74">
        <v>0.0</v>
      </c>
      <c r="BC26" s="74">
        <v>0.0</v>
      </c>
      <c r="BD26" s="74">
        <v>0.0</v>
      </c>
      <c r="BE26" s="74">
        <v>0.0</v>
      </c>
      <c r="BF26" s="74">
        <v>0.0</v>
      </c>
      <c r="BG26" s="74">
        <v>0.0</v>
      </c>
      <c r="BH26" s="74">
        <v>0.0</v>
      </c>
      <c r="BI26" s="74">
        <v>0.0</v>
      </c>
      <c r="BJ26" s="74">
        <v>0.0</v>
      </c>
      <c r="BK26" s="74">
        <v>0.0</v>
      </c>
      <c r="BL26" s="74">
        <v>0.0</v>
      </c>
    </row>
    <row r="27" ht="14.25" customHeight="1">
      <c r="A27" s="80" t="s">
        <v>136</v>
      </c>
      <c r="B27" s="3"/>
      <c r="E27" s="89">
        <f t="shared" ref="E27:BL27" si="29">E24*(1-E26)</f>
        <v>49890.20833</v>
      </c>
      <c r="F27" s="89">
        <f t="shared" si="29"/>
        <v>49890.20833</v>
      </c>
      <c r="G27" s="89">
        <f t="shared" si="29"/>
        <v>49890.20833</v>
      </c>
      <c r="H27" s="89">
        <f t="shared" si="29"/>
        <v>49890.20833</v>
      </c>
      <c r="I27" s="89">
        <f t="shared" si="29"/>
        <v>49890.20833</v>
      </c>
      <c r="J27" s="89">
        <f t="shared" si="29"/>
        <v>49890.20833</v>
      </c>
      <c r="K27" s="89">
        <f t="shared" si="29"/>
        <v>49890.20833</v>
      </c>
      <c r="L27" s="89">
        <f t="shared" si="29"/>
        <v>49890.20833</v>
      </c>
      <c r="M27" s="89">
        <f t="shared" si="29"/>
        <v>49890.20833</v>
      </c>
      <c r="N27" s="89">
        <f t="shared" si="29"/>
        <v>49890.20833</v>
      </c>
      <c r="O27" s="89">
        <f t="shared" si="29"/>
        <v>49890.20833</v>
      </c>
      <c r="P27" s="89">
        <f t="shared" si="29"/>
        <v>49890.20833</v>
      </c>
      <c r="Q27" s="89">
        <f t="shared" si="29"/>
        <v>51701.91458</v>
      </c>
      <c r="R27" s="89">
        <f t="shared" si="29"/>
        <v>51701.91458</v>
      </c>
      <c r="S27" s="89">
        <f t="shared" si="29"/>
        <v>51701.91458</v>
      </c>
      <c r="T27" s="89">
        <f t="shared" si="29"/>
        <v>51701.91458</v>
      </c>
      <c r="U27" s="89">
        <f t="shared" si="29"/>
        <v>51701.91458</v>
      </c>
      <c r="V27" s="89">
        <f t="shared" si="29"/>
        <v>51701.91458</v>
      </c>
      <c r="W27" s="89">
        <f t="shared" si="29"/>
        <v>51701.91458</v>
      </c>
      <c r="X27" s="89">
        <f t="shared" si="29"/>
        <v>51701.91458</v>
      </c>
      <c r="Y27" s="89">
        <f t="shared" si="29"/>
        <v>51701.91458</v>
      </c>
      <c r="Z27" s="89">
        <f t="shared" si="29"/>
        <v>51701.91458</v>
      </c>
      <c r="AA27" s="89">
        <f t="shared" si="29"/>
        <v>51701.91458</v>
      </c>
      <c r="AB27" s="89">
        <f t="shared" si="29"/>
        <v>51701.91458</v>
      </c>
      <c r="AC27" s="89">
        <f t="shared" si="29"/>
        <v>53583.72202</v>
      </c>
      <c r="AD27" s="89">
        <f t="shared" si="29"/>
        <v>53583.72202</v>
      </c>
      <c r="AE27" s="89">
        <f t="shared" si="29"/>
        <v>53583.72202</v>
      </c>
      <c r="AF27" s="89">
        <f t="shared" si="29"/>
        <v>53583.72202</v>
      </c>
      <c r="AG27" s="89">
        <f t="shared" si="29"/>
        <v>53583.72202</v>
      </c>
      <c r="AH27" s="89">
        <f t="shared" si="29"/>
        <v>53583.72202</v>
      </c>
      <c r="AI27" s="89">
        <f t="shared" si="29"/>
        <v>53583.72202</v>
      </c>
      <c r="AJ27" s="89">
        <f t="shared" si="29"/>
        <v>53583.72202</v>
      </c>
      <c r="AK27" s="89">
        <f t="shared" si="29"/>
        <v>53583.72202</v>
      </c>
      <c r="AL27" s="89">
        <f t="shared" si="29"/>
        <v>53583.72202</v>
      </c>
      <c r="AM27" s="89">
        <f t="shared" si="29"/>
        <v>53583.72202</v>
      </c>
      <c r="AN27" s="89">
        <f t="shared" si="29"/>
        <v>53583.72202</v>
      </c>
      <c r="AO27" s="89">
        <f t="shared" si="29"/>
        <v>55538.52118</v>
      </c>
      <c r="AP27" s="89">
        <f t="shared" si="29"/>
        <v>55538.52118</v>
      </c>
      <c r="AQ27" s="89">
        <f t="shared" si="29"/>
        <v>55538.52118</v>
      </c>
      <c r="AR27" s="89">
        <f t="shared" si="29"/>
        <v>55538.52118</v>
      </c>
      <c r="AS27" s="89">
        <f t="shared" si="29"/>
        <v>55538.52118</v>
      </c>
      <c r="AT27" s="89">
        <f t="shared" si="29"/>
        <v>55538.52118</v>
      </c>
      <c r="AU27" s="89">
        <f t="shared" si="29"/>
        <v>55538.52118</v>
      </c>
      <c r="AV27" s="89">
        <f t="shared" si="29"/>
        <v>55538.52118</v>
      </c>
      <c r="AW27" s="89">
        <f t="shared" si="29"/>
        <v>55538.52118</v>
      </c>
      <c r="AX27" s="89">
        <f t="shared" si="29"/>
        <v>55538.52118</v>
      </c>
      <c r="AY27" s="89">
        <f t="shared" si="29"/>
        <v>55538.52118</v>
      </c>
      <c r="AZ27" s="89">
        <f t="shared" si="29"/>
        <v>55538.52118</v>
      </c>
      <c r="BA27" s="89">
        <f t="shared" si="29"/>
        <v>57569.32869</v>
      </c>
      <c r="BB27" s="89">
        <f t="shared" si="29"/>
        <v>57569.32869</v>
      </c>
      <c r="BC27" s="89">
        <f t="shared" si="29"/>
        <v>57569.32869</v>
      </c>
      <c r="BD27" s="89">
        <f t="shared" si="29"/>
        <v>57569.32869</v>
      </c>
      <c r="BE27" s="89">
        <f t="shared" si="29"/>
        <v>57569.32869</v>
      </c>
      <c r="BF27" s="89">
        <f t="shared" si="29"/>
        <v>57569.32869</v>
      </c>
      <c r="BG27" s="89">
        <f t="shared" si="29"/>
        <v>57569.32869</v>
      </c>
      <c r="BH27" s="89">
        <f t="shared" si="29"/>
        <v>57569.32869</v>
      </c>
      <c r="BI27" s="89">
        <f t="shared" si="29"/>
        <v>57569.32869</v>
      </c>
      <c r="BJ27" s="89">
        <f t="shared" si="29"/>
        <v>57569.32869</v>
      </c>
      <c r="BK27" s="89">
        <f t="shared" si="29"/>
        <v>57569.32869</v>
      </c>
      <c r="BL27" s="89">
        <f t="shared" si="29"/>
        <v>57569.32869</v>
      </c>
    </row>
    <row r="28" ht="14.25" customHeight="1">
      <c r="A28" s="90" t="s">
        <v>137</v>
      </c>
      <c r="B28" s="91"/>
      <c r="C28" s="92"/>
      <c r="D28" s="92"/>
      <c r="E28" s="93">
        <f t="shared" ref="E28:BL28" si="30">E25+E27</f>
        <v>49890.20833</v>
      </c>
      <c r="F28" s="93">
        <f t="shared" si="30"/>
        <v>49890.20833</v>
      </c>
      <c r="G28" s="93">
        <f t="shared" si="30"/>
        <v>49890.20833</v>
      </c>
      <c r="H28" s="93">
        <f t="shared" si="30"/>
        <v>49890.20833</v>
      </c>
      <c r="I28" s="93">
        <f t="shared" si="30"/>
        <v>49890.20833</v>
      </c>
      <c r="J28" s="93">
        <f t="shared" si="30"/>
        <v>49890.20833</v>
      </c>
      <c r="K28" s="93">
        <f t="shared" si="30"/>
        <v>49890.20833</v>
      </c>
      <c r="L28" s="93">
        <f t="shared" si="30"/>
        <v>49890.20833</v>
      </c>
      <c r="M28" s="93">
        <f t="shared" si="30"/>
        <v>49890.20833</v>
      </c>
      <c r="N28" s="93">
        <f t="shared" si="30"/>
        <v>49890.20833</v>
      </c>
      <c r="O28" s="93">
        <f t="shared" si="30"/>
        <v>49890.20833</v>
      </c>
      <c r="P28" s="93">
        <f t="shared" si="30"/>
        <v>49890.20833</v>
      </c>
      <c r="Q28" s="93">
        <f t="shared" si="30"/>
        <v>51701.91458</v>
      </c>
      <c r="R28" s="93">
        <f t="shared" si="30"/>
        <v>51701.91458</v>
      </c>
      <c r="S28" s="93">
        <f t="shared" si="30"/>
        <v>51701.91458</v>
      </c>
      <c r="T28" s="93">
        <f t="shared" si="30"/>
        <v>51701.91458</v>
      </c>
      <c r="U28" s="93">
        <f t="shared" si="30"/>
        <v>51701.91458</v>
      </c>
      <c r="V28" s="93">
        <f t="shared" si="30"/>
        <v>51701.91458</v>
      </c>
      <c r="W28" s="93">
        <f t="shared" si="30"/>
        <v>51701.91458</v>
      </c>
      <c r="X28" s="93">
        <f t="shared" si="30"/>
        <v>51701.91458</v>
      </c>
      <c r="Y28" s="93">
        <f t="shared" si="30"/>
        <v>51701.91458</v>
      </c>
      <c r="Z28" s="93">
        <f t="shared" si="30"/>
        <v>51701.91458</v>
      </c>
      <c r="AA28" s="93">
        <f t="shared" si="30"/>
        <v>51701.91458</v>
      </c>
      <c r="AB28" s="93">
        <f t="shared" si="30"/>
        <v>51701.91458</v>
      </c>
      <c r="AC28" s="93">
        <f t="shared" si="30"/>
        <v>53583.72202</v>
      </c>
      <c r="AD28" s="93">
        <f t="shared" si="30"/>
        <v>53583.72202</v>
      </c>
      <c r="AE28" s="93">
        <f t="shared" si="30"/>
        <v>53583.72202</v>
      </c>
      <c r="AF28" s="93">
        <f t="shared" si="30"/>
        <v>53583.72202</v>
      </c>
      <c r="AG28" s="93">
        <f t="shared" si="30"/>
        <v>53583.72202</v>
      </c>
      <c r="AH28" s="93">
        <f t="shared" si="30"/>
        <v>53583.72202</v>
      </c>
      <c r="AI28" s="93">
        <f t="shared" si="30"/>
        <v>53583.72202</v>
      </c>
      <c r="AJ28" s="93">
        <f t="shared" si="30"/>
        <v>53583.72202</v>
      </c>
      <c r="AK28" s="93">
        <f t="shared" si="30"/>
        <v>53583.72202</v>
      </c>
      <c r="AL28" s="93">
        <f t="shared" si="30"/>
        <v>53583.72202</v>
      </c>
      <c r="AM28" s="93">
        <f t="shared" si="30"/>
        <v>53583.72202</v>
      </c>
      <c r="AN28" s="93">
        <f t="shared" si="30"/>
        <v>53583.72202</v>
      </c>
      <c r="AO28" s="93">
        <f t="shared" si="30"/>
        <v>55538.52118</v>
      </c>
      <c r="AP28" s="93">
        <f t="shared" si="30"/>
        <v>55538.52118</v>
      </c>
      <c r="AQ28" s="93">
        <f t="shared" si="30"/>
        <v>55538.52118</v>
      </c>
      <c r="AR28" s="93">
        <f t="shared" si="30"/>
        <v>55538.52118</v>
      </c>
      <c r="AS28" s="93">
        <f t="shared" si="30"/>
        <v>55538.52118</v>
      </c>
      <c r="AT28" s="93">
        <f t="shared" si="30"/>
        <v>55538.52118</v>
      </c>
      <c r="AU28" s="93">
        <f t="shared" si="30"/>
        <v>55538.52118</v>
      </c>
      <c r="AV28" s="93">
        <f t="shared" si="30"/>
        <v>55538.52118</v>
      </c>
      <c r="AW28" s="93">
        <f t="shared" si="30"/>
        <v>55538.52118</v>
      </c>
      <c r="AX28" s="93">
        <f t="shared" si="30"/>
        <v>55538.52118</v>
      </c>
      <c r="AY28" s="93">
        <f t="shared" si="30"/>
        <v>55538.52118</v>
      </c>
      <c r="AZ28" s="93">
        <f t="shared" si="30"/>
        <v>55538.52118</v>
      </c>
      <c r="BA28" s="93">
        <f t="shared" si="30"/>
        <v>57569.32869</v>
      </c>
      <c r="BB28" s="93">
        <f t="shared" si="30"/>
        <v>57569.32869</v>
      </c>
      <c r="BC28" s="93">
        <f t="shared" si="30"/>
        <v>57569.32869</v>
      </c>
      <c r="BD28" s="93">
        <f t="shared" si="30"/>
        <v>57569.32869</v>
      </c>
      <c r="BE28" s="93">
        <f t="shared" si="30"/>
        <v>57569.32869</v>
      </c>
      <c r="BF28" s="93">
        <f t="shared" si="30"/>
        <v>57569.32869</v>
      </c>
      <c r="BG28" s="93">
        <f t="shared" si="30"/>
        <v>57569.32869</v>
      </c>
      <c r="BH28" s="93">
        <f t="shared" si="30"/>
        <v>57569.32869</v>
      </c>
      <c r="BI28" s="93">
        <f t="shared" si="30"/>
        <v>57569.32869</v>
      </c>
      <c r="BJ28" s="93">
        <f t="shared" si="30"/>
        <v>57569.32869</v>
      </c>
      <c r="BK28" s="93">
        <f t="shared" si="30"/>
        <v>57569.32869</v>
      </c>
      <c r="BL28" s="93">
        <f t="shared" si="30"/>
        <v>57569.32869</v>
      </c>
    </row>
    <row r="29" ht="14.25" customHeight="1">
      <c r="A29" s="6"/>
    </row>
    <row r="30" ht="14.25" customHeight="1">
      <c r="A30" s="80" t="s">
        <v>138</v>
      </c>
    </row>
    <row r="31" ht="14.25" customHeight="1">
      <c r="A31" s="2" t="s">
        <v>54</v>
      </c>
      <c r="D31" s="3">
        <v>25000.0</v>
      </c>
      <c r="E31" s="89">
        <f t="shared" ref="E31:P31" si="31">$D$31/12</f>
        <v>2083.333333</v>
      </c>
      <c r="F31" s="89">
        <f t="shared" si="31"/>
        <v>2083.333333</v>
      </c>
      <c r="G31" s="89">
        <f t="shared" si="31"/>
        <v>2083.333333</v>
      </c>
      <c r="H31" s="89">
        <f t="shared" si="31"/>
        <v>2083.333333</v>
      </c>
      <c r="I31" s="89">
        <f t="shared" si="31"/>
        <v>2083.333333</v>
      </c>
      <c r="J31" s="89">
        <f t="shared" si="31"/>
        <v>2083.333333</v>
      </c>
      <c r="K31" s="89">
        <f t="shared" si="31"/>
        <v>2083.333333</v>
      </c>
      <c r="L31" s="89">
        <f t="shared" si="31"/>
        <v>2083.333333</v>
      </c>
      <c r="M31" s="89">
        <f t="shared" si="31"/>
        <v>2083.333333</v>
      </c>
      <c r="N31" s="89">
        <f t="shared" si="31"/>
        <v>2083.333333</v>
      </c>
      <c r="O31" s="89">
        <f t="shared" si="31"/>
        <v>2083.333333</v>
      </c>
      <c r="P31" s="89">
        <f t="shared" si="31"/>
        <v>2083.333333</v>
      </c>
      <c r="Q31" s="89">
        <f t="shared" ref="Q31:AB31" si="32">$P$31*(1+0.02)</f>
        <v>2125</v>
      </c>
      <c r="R31" s="89">
        <f t="shared" si="32"/>
        <v>2125</v>
      </c>
      <c r="S31" s="89">
        <f t="shared" si="32"/>
        <v>2125</v>
      </c>
      <c r="T31" s="89">
        <f t="shared" si="32"/>
        <v>2125</v>
      </c>
      <c r="U31" s="89">
        <f t="shared" si="32"/>
        <v>2125</v>
      </c>
      <c r="V31" s="89">
        <f t="shared" si="32"/>
        <v>2125</v>
      </c>
      <c r="W31" s="89">
        <f t="shared" si="32"/>
        <v>2125</v>
      </c>
      <c r="X31" s="89">
        <f t="shared" si="32"/>
        <v>2125</v>
      </c>
      <c r="Y31" s="89">
        <f t="shared" si="32"/>
        <v>2125</v>
      </c>
      <c r="Z31" s="89">
        <f t="shared" si="32"/>
        <v>2125</v>
      </c>
      <c r="AA31" s="89">
        <f t="shared" si="32"/>
        <v>2125</v>
      </c>
      <c r="AB31" s="89">
        <f t="shared" si="32"/>
        <v>2125</v>
      </c>
      <c r="AC31" s="89">
        <f t="shared" ref="AC31:AN31" si="33">$AB$31*(1+0.02)</f>
        <v>2167.5</v>
      </c>
      <c r="AD31" s="89">
        <f t="shared" si="33"/>
        <v>2167.5</v>
      </c>
      <c r="AE31" s="89">
        <f t="shared" si="33"/>
        <v>2167.5</v>
      </c>
      <c r="AF31" s="89">
        <f t="shared" si="33"/>
        <v>2167.5</v>
      </c>
      <c r="AG31" s="89">
        <f t="shared" si="33"/>
        <v>2167.5</v>
      </c>
      <c r="AH31" s="89">
        <f t="shared" si="33"/>
        <v>2167.5</v>
      </c>
      <c r="AI31" s="89">
        <f t="shared" si="33"/>
        <v>2167.5</v>
      </c>
      <c r="AJ31" s="89">
        <f t="shared" si="33"/>
        <v>2167.5</v>
      </c>
      <c r="AK31" s="89">
        <f t="shared" si="33"/>
        <v>2167.5</v>
      </c>
      <c r="AL31" s="89">
        <f t="shared" si="33"/>
        <v>2167.5</v>
      </c>
      <c r="AM31" s="89">
        <f t="shared" si="33"/>
        <v>2167.5</v>
      </c>
      <c r="AN31" s="89">
        <f t="shared" si="33"/>
        <v>2167.5</v>
      </c>
      <c r="AO31" s="89">
        <f t="shared" ref="AO31:AZ31" si="34">$AN$31*(1+0.02)</f>
        <v>2210.85</v>
      </c>
      <c r="AP31" s="89">
        <f t="shared" si="34"/>
        <v>2210.85</v>
      </c>
      <c r="AQ31" s="89">
        <f t="shared" si="34"/>
        <v>2210.85</v>
      </c>
      <c r="AR31" s="89">
        <f t="shared" si="34"/>
        <v>2210.85</v>
      </c>
      <c r="AS31" s="89">
        <f t="shared" si="34"/>
        <v>2210.85</v>
      </c>
      <c r="AT31" s="89">
        <f t="shared" si="34"/>
        <v>2210.85</v>
      </c>
      <c r="AU31" s="89">
        <f t="shared" si="34"/>
        <v>2210.85</v>
      </c>
      <c r="AV31" s="89">
        <f t="shared" si="34"/>
        <v>2210.85</v>
      </c>
      <c r="AW31" s="89">
        <f t="shared" si="34"/>
        <v>2210.85</v>
      </c>
      <c r="AX31" s="89">
        <f t="shared" si="34"/>
        <v>2210.85</v>
      </c>
      <c r="AY31" s="89">
        <f t="shared" si="34"/>
        <v>2210.85</v>
      </c>
      <c r="AZ31" s="89">
        <f t="shared" si="34"/>
        <v>2210.85</v>
      </c>
      <c r="BA31" s="89">
        <f t="shared" ref="BA31:BL31" si="35">$AZ$31*(1+0.02)</f>
        <v>2255.067</v>
      </c>
      <c r="BB31" s="89">
        <f t="shared" si="35"/>
        <v>2255.067</v>
      </c>
      <c r="BC31" s="89">
        <f t="shared" si="35"/>
        <v>2255.067</v>
      </c>
      <c r="BD31" s="89">
        <f t="shared" si="35"/>
        <v>2255.067</v>
      </c>
      <c r="BE31" s="89">
        <f t="shared" si="35"/>
        <v>2255.067</v>
      </c>
      <c r="BF31" s="89">
        <f t="shared" si="35"/>
        <v>2255.067</v>
      </c>
      <c r="BG31" s="89">
        <f t="shared" si="35"/>
        <v>2255.067</v>
      </c>
      <c r="BH31" s="89">
        <f t="shared" si="35"/>
        <v>2255.067</v>
      </c>
      <c r="BI31" s="89">
        <f t="shared" si="35"/>
        <v>2255.067</v>
      </c>
      <c r="BJ31" s="89">
        <f t="shared" si="35"/>
        <v>2255.067</v>
      </c>
      <c r="BK31" s="89">
        <f t="shared" si="35"/>
        <v>2255.067</v>
      </c>
      <c r="BL31" s="89">
        <f t="shared" si="35"/>
        <v>2255.067</v>
      </c>
    </row>
    <row r="32" ht="13.5" customHeight="1">
      <c r="A32" s="2" t="s">
        <v>55</v>
      </c>
      <c r="D32" s="3">
        <v>75000.0</v>
      </c>
      <c r="E32" s="89">
        <f t="shared" ref="E32:P32" si="36">$D$32/12</f>
        <v>6250</v>
      </c>
      <c r="F32" s="89">
        <f t="shared" si="36"/>
        <v>6250</v>
      </c>
      <c r="G32" s="89">
        <f t="shared" si="36"/>
        <v>6250</v>
      </c>
      <c r="H32" s="89">
        <f t="shared" si="36"/>
        <v>6250</v>
      </c>
      <c r="I32" s="89">
        <f t="shared" si="36"/>
        <v>6250</v>
      </c>
      <c r="J32" s="89">
        <f t="shared" si="36"/>
        <v>6250</v>
      </c>
      <c r="K32" s="89">
        <f t="shared" si="36"/>
        <v>6250</v>
      </c>
      <c r="L32" s="89">
        <f t="shared" si="36"/>
        <v>6250</v>
      </c>
      <c r="M32" s="89">
        <f t="shared" si="36"/>
        <v>6250</v>
      </c>
      <c r="N32" s="89">
        <f t="shared" si="36"/>
        <v>6250</v>
      </c>
      <c r="O32" s="89">
        <f t="shared" si="36"/>
        <v>6250</v>
      </c>
      <c r="P32" s="89">
        <f t="shared" si="36"/>
        <v>6250</v>
      </c>
      <c r="Q32" s="89">
        <f t="shared" ref="Q32:AB32" si="37">$P$32*(1+0.02)</f>
        <v>6375</v>
      </c>
      <c r="R32" s="89">
        <f t="shared" si="37"/>
        <v>6375</v>
      </c>
      <c r="S32" s="89">
        <f t="shared" si="37"/>
        <v>6375</v>
      </c>
      <c r="T32" s="89">
        <f t="shared" si="37"/>
        <v>6375</v>
      </c>
      <c r="U32" s="89">
        <f t="shared" si="37"/>
        <v>6375</v>
      </c>
      <c r="V32" s="89">
        <f t="shared" si="37"/>
        <v>6375</v>
      </c>
      <c r="W32" s="89">
        <f t="shared" si="37"/>
        <v>6375</v>
      </c>
      <c r="X32" s="89">
        <f t="shared" si="37"/>
        <v>6375</v>
      </c>
      <c r="Y32" s="89">
        <f t="shared" si="37"/>
        <v>6375</v>
      </c>
      <c r="Z32" s="89">
        <f t="shared" si="37"/>
        <v>6375</v>
      </c>
      <c r="AA32" s="89">
        <f t="shared" si="37"/>
        <v>6375</v>
      </c>
      <c r="AB32" s="89">
        <f t="shared" si="37"/>
        <v>6375</v>
      </c>
      <c r="AC32" s="89">
        <f t="shared" ref="AC32:AN32" si="38">$AB$32*(1+0.02)</f>
        <v>6502.5</v>
      </c>
      <c r="AD32" s="89">
        <f t="shared" si="38"/>
        <v>6502.5</v>
      </c>
      <c r="AE32" s="89">
        <f t="shared" si="38"/>
        <v>6502.5</v>
      </c>
      <c r="AF32" s="89">
        <f t="shared" si="38"/>
        <v>6502.5</v>
      </c>
      <c r="AG32" s="89">
        <f t="shared" si="38"/>
        <v>6502.5</v>
      </c>
      <c r="AH32" s="89">
        <f t="shared" si="38"/>
        <v>6502.5</v>
      </c>
      <c r="AI32" s="89">
        <f t="shared" si="38"/>
        <v>6502.5</v>
      </c>
      <c r="AJ32" s="89">
        <f t="shared" si="38"/>
        <v>6502.5</v>
      </c>
      <c r="AK32" s="89">
        <f t="shared" si="38"/>
        <v>6502.5</v>
      </c>
      <c r="AL32" s="89">
        <f t="shared" si="38"/>
        <v>6502.5</v>
      </c>
      <c r="AM32" s="89">
        <f t="shared" si="38"/>
        <v>6502.5</v>
      </c>
      <c r="AN32" s="89">
        <f t="shared" si="38"/>
        <v>6502.5</v>
      </c>
      <c r="AO32" s="89">
        <f t="shared" ref="AO32:AZ32" si="39">$AN$32*(1+0.02)</f>
        <v>6632.55</v>
      </c>
      <c r="AP32" s="89">
        <f t="shared" si="39"/>
        <v>6632.55</v>
      </c>
      <c r="AQ32" s="89">
        <f t="shared" si="39"/>
        <v>6632.55</v>
      </c>
      <c r="AR32" s="89">
        <f t="shared" si="39"/>
        <v>6632.55</v>
      </c>
      <c r="AS32" s="89">
        <f t="shared" si="39"/>
        <v>6632.55</v>
      </c>
      <c r="AT32" s="89">
        <f t="shared" si="39"/>
        <v>6632.55</v>
      </c>
      <c r="AU32" s="89">
        <f t="shared" si="39"/>
        <v>6632.55</v>
      </c>
      <c r="AV32" s="89">
        <f t="shared" si="39"/>
        <v>6632.55</v>
      </c>
      <c r="AW32" s="89">
        <f t="shared" si="39"/>
        <v>6632.55</v>
      </c>
      <c r="AX32" s="89">
        <f t="shared" si="39"/>
        <v>6632.55</v>
      </c>
      <c r="AY32" s="89">
        <f t="shared" si="39"/>
        <v>6632.55</v>
      </c>
      <c r="AZ32" s="89">
        <f t="shared" si="39"/>
        <v>6632.55</v>
      </c>
      <c r="BA32" s="89">
        <f t="shared" ref="BA32:BL32" si="40">$AZ$32*(1+0.02)</f>
        <v>6765.201</v>
      </c>
      <c r="BB32" s="89">
        <f t="shared" si="40"/>
        <v>6765.201</v>
      </c>
      <c r="BC32" s="89">
        <f t="shared" si="40"/>
        <v>6765.201</v>
      </c>
      <c r="BD32" s="89">
        <f t="shared" si="40"/>
        <v>6765.201</v>
      </c>
      <c r="BE32" s="89">
        <f t="shared" si="40"/>
        <v>6765.201</v>
      </c>
      <c r="BF32" s="89">
        <f t="shared" si="40"/>
        <v>6765.201</v>
      </c>
      <c r="BG32" s="89">
        <f t="shared" si="40"/>
        <v>6765.201</v>
      </c>
      <c r="BH32" s="89">
        <f t="shared" si="40"/>
        <v>6765.201</v>
      </c>
      <c r="BI32" s="89">
        <f t="shared" si="40"/>
        <v>6765.201</v>
      </c>
      <c r="BJ32" s="89">
        <f t="shared" si="40"/>
        <v>6765.201</v>
      </c>
      <c r="BK32" s="89">
        <f t="shared" si="40"/>
        <v>6765.201</v>
      </c>
      <c r="BL32" s="89">
        <f t="shared" si="40"/>
        <v>6765.201</v>
      </c>
    </row>
    <row r="33" ht="14.25" customHeight="1">
      <c r="A33" s="2" t="s">
        <v>56</v>
      </c>
      <c r="D33" s="3">
        <v>25000.0</v>
      </c>
      <c r="E33" s="89">
        <f t="shared" ref="E33:P33" si="41">$D$33/12</f>
        <v>2083.333333</v>
      </c>
      <c r="F33" s="89">
        <f t="shared" si="41"/>
        <v>2083.333333</v>
      </c>
      <c r="G33" s="89">
        <f t="shared" si="41"/>
        <v>2083.333333</v>
      </c>
      <c r="H33" s="89">
        <f t="shared" si="41"/>
        <v>2083.333333</v>
      </c>
      <c r="I33" s="89">
        <f t="shared" si="41"/>
        <v>2083.333333</v>
      </c>
      <c r="J33" s="89">
        <f t="shared" si="41"/>
        <v>2083.333333</v>
      </c>
      <c r="K33" s="89">
        <f t="shared" si="41"/>
        <v>2083.333333</v>
      </c>
      <c r="L33" s="89">
        <f t="shared" si="41"/>
        <v>2083.333333</v>
      </c>
      <c r="M33" s="89">
        <f t="shared" si="41"/>
        <v>2083.333333</v>
      </c>
      <c r="N33" s="89">
        <f t="shared" si="41"/>
        <v>2083.333333</v>
      </c>
      <c r="O33" s="89">
        <f t="shared" si="41"/>
        <v>2083.333333</v>
      </c>
      <c r="P33" s="89">
        <f t="shared" si="41"/>
        <v>2083.333333</v>
      </c>
      <c r="Q33" s="89">
        <f t="shared" ref="Q33:AB33" si="42">$P$33*(1+0.02)</f>
        <v>2125</v>
      </c>
      <c r="R33" s="89">
        <f t="shared" si="42"/>
        <v>2125</v>
      </c>
      <c r="S33" s="89">
        <f t="shared" si="42"/>
        <v>2125</v>
      </c>
      <c r="T33" s="89">
        <f t="shared" si="42"/>
        <v>2125</v>
      </c>
      <c r="U33" s="89">
        <f t="shared" si="42"/>
        <v>2125</v>
      </c>
      <c r="V33" s="89">
        <f t="shared" si="42"/>
        <v>2125</v>
      </c>
      <c r="W33" s="89">
        <f t="shared" si="42"/>
        <v>2125</v>
      </c>
      <c r="X33" s="89">
        <f t="shared" si="42"/>
        <v>2125</v>
      </c>
      <c r="Y33" s="89">
        <f t="shared" si="42"/>
        <v>2125</v>
      </c>
      <c r="Z33" s="89">
        <f t="shared" si="42"/>
        <v>2125</v>
      </c>
      <c r="AA33" s="89">
        <f t="shared" si="42"/>
        <v>2125</v>
      </c>
      <c r="AB33" s="89">
        <f t="shared" si="42"/>
        <v>2125</v>
      </c>
      <c r="AC33" s="89">
        <f t="shared" ref="AC33:AN33" si="43">$AB$33*(1+0.02)</f>
        <v>2167.5</v>
      </c>
      <c r="AD33" s="89">
        <f t="shared" si="43"/>
        <v>2167.5</v>
      </c>
      <c r="AE33" s="89">
        <f t="shared" si="43"/>
        <v>2167.5</v>
      </c>
      <c r="AF33" s="89">
        <f t="shared" si="43"/>
        <v>2167.5</v>
      </c>
      <c r="AG33" s="89">
        <f t="shared" si="43"/>
        <v>2167.5</v>
      </c>
      <c r="AH33" s="89">
        <f t="shared" si="43"/>
        <v>2167.5</v>
      </c>
      <c r="AI33" s="89">
        <f t="shared" si="43"/>
        <v>2167.5</v>
      </c>
      <c r="AJ33" s="89">
        <f t="shared" si="43"/>
        <v>2167.5</v>
      </c>
      <c r="AK33" s="89">
        <f t="shared" si="43"/>
        <v>2167.5</v>
      </c>
      <c r="AL33" s="89">
        <f t="shared" si="43"/>
        <v>2167.5</v>
      </c>
      <c r="AM33" s="89">
        <f t="shared" si="43"/>
        <v>2167.5</v>
      </c>
      <c r="AN33" s="89">
        <f t="shared" si="43"/>
        <v>2167.5</v>
      </c>
      <c r="AO33" s="89">
        <f t="shared" ref="AO33:AZ33" si="44">$AN$33*(1+0.02)</f>
        <v>2210.85</v>
      </c>
      <c r="AP33" s="89">
        <f t="shared" si="44"/>
        <v>2210.85</v>
      </c>
      <c r="AQ33" s="89">
        <f t="shared" si="44"/>
        <v>2210.85</v>
      </c>
      <c r="AR33" s="89">
        <f t="shared" si="44"/>
        <v>2210.85</v>
      </c>
      <c r="AS33" s="89">
        <f t="shared" si="44"/>
        <v>2210.85</v>
      </c>
      <c r="AT33" s="89">
        <f t="shared" si="44"/>
        <v>2210.85</v>
      </c>
      <c r="AU33" s="89">
        <f t="shared" si="44"/>
        <v>2210.85</v>
      </c>
      <c r="AV33" s="89">
        <f t="shared" si="44"/>
        <v>2210.85</v>
      </c>
      <c r="AW33" s="89">
        <f t="shared" si="44"/>
        <v>2210.85</v>
      </c>
      <c r="AX33" s="89">
        <f t="shared" si="44"/>
        <v>2210.85</v>
      </c>
      <c r="AY33" s="89">
        <f t="shared" si="44"/>
        <v>2210.85</v>
      </c>
      <c r="AZ33" s="89">
        <f t="shared" si="44"/>
        <v>2210.85</v>
      </c>
      <c r="BA33" s="89">
        <f t="shared" ref="BA33:BL33" si="45">$AZ$33*(1+0.02)</f>
        <v>2255.067</v>
      </c>
      <c r="BB33" s="89">
        <f t="shared" si="45"/>
        <v>2255.067</v>
      </c>
      <c r="BC33" s="89">
        <f t="shared" si="45"/>
        <v>2255.067</v>
      </c>
      <c r="BD33" s="89">
        <f t="shared" si="45"/>
        <v>2255.067</v>
      </c>
      <c r="BE33" s="89">
        <f t="shared" si="45"/>
        <v>2255.067</v>
      </c>
      <c r="BF33" s="89">
        <f t="shared" si="45"/>
        <v>2255.067</v>
      </c>
      <c r="BG33" s="89">
        <f t="shared" si="45"/>
        <v>2255.067</v>
      </c>
      <c r="BH33" s="89">
        <f t="shared" si="45"/>
        <v>2255.067</v>
      </c>
      <c r="BI33" s="89">
        <f t="shared" si="45"/>
        <v>2255.067</v>
      </c>
      <c r="BJ33" s="89">
        <f t="shared" si="45"/>
        <v>2255.067</v>
      </c>
      <c r="BK33" s="89">
        <f t="shared" si="45"/>
        <v>2255.067</v>
      </c>
      <c r="BL33" s="89">
        <f t="shared" si="45"/>
        <v>2255.067</v>
      </c>
    </row>
    <row r="34" ht="14.25" customHeight="1">
      <c r="A34" s="2" t="s">
        <v>57</v>
      </c>
      <c r="D34" s="3">
        <v>20000.0</v>
      </c>
      <c r="E34" s="89">
        <f t="shared" ref="E34:P34" si="46">$D$34/12</f>
        <v>1666.666667</v>
      </c>
      <c r="F34" s="89">
        <f t="shared" si="46"/>
        <v>1666.666667</v>
      </c>
      <c r="G34" s="89">
        <f t="shared" si="46"/>
        <v>1666.666667</v>
      </c>
      <c r="H34" s="89">
        <f t="shared" si="46"/>
        <v>1666.666667</v>
      </c>
      <c r="I34" s="89">
        <f t="shared" si="46"/>
        <v>1666.666667</v>
      </c>
      <c r="J34" s="89">
        <f t="shared" si="46"/>
        <v>1666.666667</v>
      </c>
      <c r="K34" s="89">
        <f t="shared" si="46"/>
        <v>1666.666667</v>
      </c>
      <c r="L34" s="89">
        <f t="shared" si="46"/>
        <v>1666.666667</v>
      </c>
      <c r="M34" s="89">
        <f t="shared" si="46"/>
        <v>1666.666667</v>
      </c>
      <c r="N34" s="89">
        <f t="shared" si="46"/>
        <v>1666.666667</v>
      </c>
      <c r="O34" s="89">
        <f t="shared" si="46"/>
        <v>1666.666667</v>
      </c>
      <c r="P34" s="89">
        <f t="shared" si="46"/>
        <v>1666.666667</v>
      </c>
      <c r="Q34" s="89">
        <f t="shared" ref="Q34:AB34" si="47">$P$34*(1+0.02)</f>
        <v>1700</v>
      </c>
      <c r="R34" s="89">
        <f t="shared" si="47"/>
        <v>1700</v>
      </c>
      <c r="S34" s="89">
        <f t="shared" si="47"/>
        <v>1700</v>
      </c>
      <c r="T34" s="89">
        <f t="shared" si="47"/>
        <v>1700</v>
      </c>
      <c r="U34" s="89">
        <f t="shared" si="47"/>
        <v>1700</v>
      </c>
      <c r="V34" s="89">
        <f t="shared" si="47"/>
        <v>1700</v>
      </c>
      <c r="W34" s="89">
        <f t="shared" si="47"/>
        <v>1700</v>
      </c>
      <c r="X34" s="89">
        <f t="shared" si="47"/>
        <v>1700</v>
      </c>
      <c r="Y34" s="89">
        <f t="shared" si="47"/>
        <v>1700</v>
      </c>
      <c r="Z34" s="89">
        <f t="shared" si="47"/>
        <v>1700</v>
      </c>
      <c r="AA34" s="89">
        <f t="shared" si="47"/>
        <v>1700</v>
      </c>
      <c r="AB34" s="89">
        <f t="shared" si="47"/>
        <v>1700</v>
      </c>
      <c r="AC34" s="89">
        <f t="shared" ref="AC34:AN34" si="48">$AB$34*(1+0.02)</f>
        <v>1734</v>
      </c>
      <c r="AD34" s="89">
        <f t="shared" si="48"/>
        <v>1734</v>
      </c>
      <c r="AE34" s="89">
        <f t="shared" si="48"/>
        <v>1734</v>
      </c>
      <c r="AF34" s="89">
        <f t="shared" si="48"/>
        <v>1734</v>
      </c>
      <c r="AG34" s="89">
        <f t="shared" si="48"/>
        <v>1734</v>
      </c>
      <c r="AH34" s="89">
        <f t="shared" si="48"/>
        <v>1734</v>
      </c>
      <c r="AI34" s="89">
        <f t="shared" si="48"/>
        <v>1734</v>
      </c>
      <c r="AJ34" s="89">
        <f t="shared" si="48"/>
        <v>1734</v>
      </c>
      <c r="AK34" s="89">
        <f t="shared" si="48"/>
        <v>1734</v>
      </c>
      <c r="AL34" s="89">
        <f t="shared" si="48"/>
        <v>1734</v>
      </c>
      <c r="AM34" s="89">
        <f t="shared" si="48"/>
        <v>1734</v>
      </c>
      <c r="AN34" s="89">
        <f t="shared" si="48"/>
        <v>1734</v>
      </c>
      <c r="AO34" s="89">
        <f t="shared" ref="AO34:AZ34" si="49">$AN$34*(1+0.02)</f>
        <v>1768.68</v>
      </c>
      <c r="AP34" s="89">
        <f t="shared" si="49"/>
        <v>1768.68</v>
      </c>
      <c r="AQ34" s="89">
        <f t="shared" si="49"/>
        <v>1768.68</v>
      </c>
      <c r="AR34" s="89">
        <f t="shared" si="49"/>
        <v>1768.68</v>
      </c>
      <c r="AS34" s="89">
        <f t="shared" si="49"/>
        <v>1768.68</v>
      </c>
      <c r="AT34" s="89">
        <f t="shared" si="49"/>
        <v>1768.68</v>
      </c>
      <c r="AU34" s="89">
        <f t="shared" si="49"/>
        <v>1768.68</v>
      </c>
      <c r="AV34" s="89">
        <f t="shared" si="49"/>
        <v>1768.68</v>
      </c>
      <c r="AW34" s="89">
        <f t="shared" si="49"/>
        <v>1768.68</v>
      </c>
      <c r="AX34" s="89">
        <f t="shared" si="49"/>
        <v>1768.68</v>
      </c>
      <c r="AY34" s="89">
        <f t="shared" si="49"/>
        <v>1768.68</v>
      </c>
      <c r="AZ34" s="89">
        <f t="shared" si="49"/>
        <v>1768.68</v>
      </c>
      <c r="BA34" s="89">
        <f t="shared" ref="BA34:BL34" si="50">$AZ$34*(1+0.02)</f>
        <v>1804.0536</v>
      </c>
      <c r="BB34" s="89">
        <f t="shared" si="50"/>
        <v>1804.0536</v>
      </c>
      <c r="BC34" s="89">
        <f t="shared" si="50"/>
        <v>1804.0536</v>
      </c>
      <c r="BD34" s="89">
        <f t="shared" si="50"/>
        <v>1804.0536</v>
      </c>
      <c r="BE34" s="89">
        <f t="shared" si="50"/>
        <v>1804.0536</v>
      </c>
      <c r="BF34" s="89">
        <f t="shared" si="50"/>
        <v>1804.0536</v>
      </c>
      <c r="BG34" s="89">
        <f t="shared" si="50"/>
        <v>1804.0536</v>
      </c>
      <c r="BH34" s="89">
        <f t="shared" si="50"/>
        <v>1804.0536</v>
      </c>
      <c r="BI34" s="89">
        <f t="shared" si="50"/>
        <v>1804.0536</v>
      </c>
      <c r="BJ34" s="89">
        <f t="shared" si="50"/>
        <v>1804.0536</v>
      </c>
      <c r="BK34" s="89">
        <f t="shared" si="50"/>
        <v>1804.0536</v>
      </c>
      <c r="BL34" s="89">
        <f t="shared" si="50"/>
        <v>1804.0536</v>
      </c>
    </row>
    <row r="35" ht="14.25" customHeight="1">
      <c r="A35" s="2" t="s">
        <v>58</v>
      </c>
      <c r="D35" s="3">
        <v>45000.0</v>
      </c>
      <c r="E35" s="89">
        <f t="shared" ref="E35:P35" si="51">$D$35/12</f>
        <v>3750</v>
      </c>
      <c r="F35" s="89">
        <f t="shared" si="51"/>
        <v>3750</v>
      </c>
      <c r="G35" s="89">
        <f t="shared" si="51"/>
        <v>3750</v>
      </c>
      <c r="H35" s="89">
        <f t="shared" si="51"/>
        <v>3750</v>
      </c>
      <c r="I35" s="89">
        <f t="shared" si="51"/>
        <v>3750</v>
      </c>
      <c r="J35" s="89">
        <f t="shared" si="51"/>
        <v>3750</v>
      </c>
      <c r="K35" s="89">
        <f t="shared" si="51"/>
        <v>3750</v>
      </c>
      <c r="L35" s="89">
        <f t="shared" si="51"/>
        <v>3750</v>
      </c>
      <c r="M35" s="89">
        <f t="shared" si="51"/>
        <v>3750</v>
      </c>
      <c r="N35" s="89">
        <f t="shared" si="51"/>
        <v>3750</v>
      </c>
      <c r="O35" s="89">
        <f t="shared" si="51"/>
        <v>3750</v>
      </c>
      <c r="P35" s="89">
        <f t="shared" si="51"/>
        <v>3750</v>
      </c>
      <c r="Q35" s="89">
        <f t="shared" ref="Q35:AB35" si="52">$P$35*(1+0.02)</f>
        <v>3825</v>
      </c>
      <c r="R35" s="89">
        <f t="shared" si="52"/>
        <v>3825</v>
      </c>
      <c r="S35" s="89">
        <f t="shared" si="52"/>
        <v>3825</v>
      </c>
      <c r="T35" s="89">
        <f t="shared" si="52"/>
        <v>3825</v>
      </c>
      <c r="U35" s="89">
        <f t="shared" si="52"/>
        <v>3825</v>
      </c>
      <c r="V35" s="89">
        <f t="shared" si="52"/>
        <v>3825</v>
      </c>
      <c r="W35" s="89">
        <f t="shared" si="52"/>
        <v>3825</v>
      </c>
      <c r="X35" s="89">
        <f t="shared" si="52"/>
        <v>3825</v>
      </c>
      <c r="Y35" s="89">
        <f t="shared" si="52"/>
        <v>3825</v>
      </c>
      <c r="Z35" s="89">
        <f t="shared" si="52"/>
        <v>3825</v>
      </c>
      <c r="AA35" s="89">
        <f t="shared" si="52"/>
        <v>3825</v>
      </c>
      <c r="AB35" s="89">
        <f t="shared" si="52"/>
        <v>3825</v>
      </c>
      <c r="AC35" s="89">
        <f t="shared" ref="AC35:AN35" si="53">$AB$35*(1+0.02)</f>
        <v>3901.5</v>
      </c>
      <c r="AD35" s="89">
        <f t="shared" si="53"/>
        <v>3901.5</v>
      </c>
      <c r="AE35" s="89">
        <f t="shared" si="53"/>
        <v>3901.5</v>
      </c>
      <c r="AF35" s="89">
        <f t="shared" si="53"/>
        <v>3901.5</v>
      </c>
      <c r="AG35" s="89">
        <f t="shared" si="53"/>
        <v>3901.5</v>
      </c>
      <c r="AH35" s="89">
        <f t="shared" si="53"/>
        <v>3901.5</v>
      </c>
      <c r="AI35" s="89">
        <f t="shared" si="53"/>
        <v>3901.5</v>
      </c>
      <c r="AJ35" s="89">
        <f t="shared" si="53"/>
        <v>3901.5</v>
      </c>
      <c r="AK35" s="89">
        <f t="shared" si="53"/>
        <v>3901.5</v>
      </c>
      <c r="AL35" s="89">
        <f t="shared" si="53"/>
        <v>3901.5</v>
      </c>
      <c r="AM35" s="89">
        <f t="shared" si="53"/>
        <v>3901.5</v>
      </c>
      <c r="AN35" s="89">
        <f t="shared" si="53"/>
        <v>3901.5</v>
      </c>
      <c r="AO35" s="89">
        <f t="shared" ref="AO35:AZ35" si="54">$AN$35*(1+0.02)</f>
        <v>3979.53</v>
      </c>
      <c r="AP35" s="89">
        <f t="shared" si="54"/>
        <v>3979.53</v>
      </c>
      <c r="AQ35" s="89">
        <f t="shared" si="54"/>
        <v>3979.53</v>
      </c>
      <c r="AR35" s="89">
        <f t="shared" si="54"/>
        <v>3979.53</v>
      </c>
      <c r="AS35" s="89">
        <f t="shared" si="54"/>
        <v>3979.53</v>
      </c>
      <c r="AT35" s="89">
        <f t="shared" si="54"/>
        <v>3979.53</v>
      </c>
      <c r="AU35" s="89">
        <f t="shared" si="54"/>
        <v>3979.53</v>
      </c>
      <c r="AV35" s="89">
        <f t="shared" si="54"/>
        <v>3979.53</v>
      </c>
      <c r="AW35" s="89">
        <f t="shared" si="54"/>
        <v>3979.53</v>
      </c>
      <c r="AX35" s="89">
        <f t="shared" si="54"/>
        <v>3979.53</v>
      </c>
      <c r="AY35" s="89">
        <f t="shared" si="54"/>
        <v>3979.53</v>
      </c>
      <c r="AZ35" s="89">
        <f t="shared" si="54"/>
        <v>3979.53</v>
      </c>
      <c r="BA35" s="89">
        <f t="shared" ref="BA35:BL35" si="55">$AZ$35*(1+0.02)</f>
        <v>4059.1206</v>
      </c>
      <c r="BB35" s="89">
        <f t="shared" si="55"/>
        <v>4059.1206</v>
      </c>
      <c r="BC35" s="89">
        <f t="shared" si="55"/>
        <v>4059.1206</v>
      </c>
      <c r="BD35" s="89">
        <f t="shared" si="55"/>
        <v>4059.1206</v>
      </c>
      <c r="BE35" s="89">
        <f t="shared" si="55"/>
        <v>4059.1206</v>
      </c>
      <c r="BF35" s="89">
        <f t="shared" si="55"/>
        <v>4059.1206</v>
      </c>
      <c r="BG35" s="89">
        <f t="shared" si="55"/>
        <v>4059.1206</v>
      </c>
      <c r="BH35" s="89">
        <f t="shared" si="55"/>
        <v>4059.1206</v>
      </c>
      <c r="BI35" s="89">
        <f t="shared" si="55"/>
        <v>4059.1206</v>
      </c>
      <c r="BJ35" s="89">
        <f t="shared" si="55"/>
        <v>4059.1206</v>
      </c>
      <c r="BK35" s="89">
        <f t="shared" si="55"/>
        <v>4059.1206</v>
      </c>
      <c r="BL35" s="89">
        <f t="shared" si="55"/>
        <v>4059.1206</v>
      </c>
    </row>
    <row r="36" ht="14.25" customHeight="1">
      <c r="A36" s="91" t="s">
        <v>139</v>
      </c>
      <c r="B36" s="94"/>
      <c r="C36" s="94"/>
      <c r="D36" s="94"/>
      <c r="E36" s="95">
        <f t="shared" ref="E36:BL36" si="56">E31+E32+E33+E34+E35</f>
        <v>15833.33333</v>
      </c>
      <c r="F36" s="95">
        <f t="shared" si="56"/>
        <v>15833.33333</v>
      </c>
      <c r="G36" s="95">
        <f t="shared" si="56"/>
        <v>15833.33333</v>
      </c>
      <c r="H36" s="95">
        <f t="shared" si="56"/>
        <v>15833.33333</v>
      </c>
      <c r="I36" s="95">
        <f t="shared" si="56"/>
        <v>15833.33333</v>
      </c>
      <c r="J36" s="95">
        <f t="shared" si="56"/>
        <v>15833.33333</v>
      </c>
      <c r="K36" s="95">
        <f t="shared" si="56"/>
        <v>15833.33333</v>
      </c>
      <c r="L36" s="95">
        <f t="shared" si="56"/>
        <v>15833.33333</v>
      </c>
      <c r="M36" s="95">
        <f t="shared" si="56"/>
        <v>15833.33333</v>
      </c>
      <c r="N36" s="95">
        <f t="shared" si="56"/>
        <v>15833.33333</v>
      </c>
      <c r="O36" s="95">
        <f t="shared" si="56"/>
        <v>15833.33333</v>
      </c>
      <c r="P36" s="95">
        <f t="shared" si="56"/>
        <v>15833.33333</v>
      </c>
      <c r="Q36" s="95">
        <f t="shared" si="56"/>
        <v>16150</v>
      </c>
      <c r="R36" s="95">
        <f t="shared" si="56"/>
        <v>16150</v>
      </c>
      <c r="S36" s="95">
        <f t="shared" si="56"/>
        <v>16150</v>
      </c>
      <c r="T36" s="95">
        <f t="shared" si="56"/>
        <v>16150</v>
      </c>
      <c r="U36" s="95">
        <f t="shared" si="56"/>
        <v>16150</v>
      </c>
      <c r="V36" s="95">
        <f t="shared" si="56"/>
        <v>16150</v>
      </c>
      <c r="W36" s="95">
        <f t="shared" si="56"/>
        <v>16150</v>
      </c>
      <c r="X36" s="95">
        <f t="shared" si="56"/>
        <v>16150</v>
      </c>
      <c r="Y36" s="95">
        <f t="shared" si="56"/>
        <v>16150</v>
      </c>
      <c r="Z36" s="95">
        <f t="shared" si="56"/>
        <v>16150</v>
      </c>
      <c r="AA36" s="95">
        <f t="shared" si="56"/>
        <v>16150</v>
      </c>
      <c r="AB36" s="95">
        <f t="shared" si="56"/>
        <v>16150</v>
      </c>
      <c r="AC36" s="95">
        <f t="shared" si="56"/>
        <v>16473</v>
      </c>
      <c r="AD36" s="95">
        <f t="shared" si="56"/>
        <v>16473</v>
      </c>
      <c r="AE36" s="95">
        <f t="shared" si="56"/>
        <v>16473</v>
      </c>
      <c r="AF36" s="95">
        <f t="shared" si="56"/>
        <v>16473</v>
      </c>
      <c r="AG36" s="95">
        <f t="shared" si="56"/>
        <v>16473</v>
      </c>
      <c r="AH36" s="95">
        <f t="shared" si="56"/>
        <v>16473</v>
      </c>
      <c r="AI36" s="95">
        <f t="shared" si="56"/>
        <v>16473</v>
      </c>
      <c r="AJ36" s="95">
        <f t="shared" si="56"/>
        <v>16473</v>
      </c>
      <c r="AK36" s="95">
        <f t="shared" si="56"/>
        <v>16473</v>
      </c>
      <c r="AL36" s="95">
        <f t="shared" si="56"/>
        <v>16473</v>
      </c>
      <c r="AM36" s="95">
        <f t="shared" si="56"/>
        <v>16473</v>
      </c>
      <c r="AN36" s="95">
        <f t="shared" si="56"/>
        <v>16473</v>
      </c>
      <c r="AO36" s="95">
        <f t="shared" si="56"/>
        <v>16802.46</v>
      </c>
      <c r="AP36" s="95">
        <f t="shared" si="56"/>
        <v>16802.46</v>
      </c>
      <c r="AQ36" s="95">
        <f t="shared" si="56"/>
        <v>16802.46</v>
      </c>
      <c r="AR36" s="95">
        <f t="shared" si="56"/>
        <v>16802.46</v>
      </c>
      <c r="AS36" s="95">
        <f t="shared" si="56"/>
        <v>16802.46</v>
      </c>
      <c r="AT36" s="95">
        <f t="shared" si="56"/>
        <v>16802.46</v>
      </c>
      <c r="AU36" s="95">
        <f t="shared" si="56"/>
        <v>16802.46</v>
      </c>
      <c r="AV36" s="95">
        <f t="shared" si="56"/>
        <v>16802.46</v>
      </c>
      <c r="AW36" s="95">
        <f t="shared" si="56"/>
        <v>16802.46</v>
      </c>
      <c r="AX36" s="95">
        <f t="shared" si="56"/>
        <v>16802.46</v>
      </c>
      <c r="AY36" s="95">
        <f t="shared" si="56"/>
        <v>16802.46</v>
      </c>
      <c r="AZ36" s="95">
        <f t="shared" si="56"/>
        <v>16802.46</v>
      </c>
      <c r="BA36" s="95">
        <f t="shared" si="56"/>
        <v>17138.5092</v>
      </c>
      <c r="BB36" s="95">
        <f t="shared" si="56"/>
        <v>17138.5092</v>
      </c>
      <c r="BC36" s="95">
        <f t="shared" si="56"/>
        <v>17138.5092</v>
      </c>
      <c r="BD36" s="95">
        <f t="shared" si="56"/>
        <v>17138.5092</v>
      </c>
      <c r="BE36" s="95">
        <f t="shared" si="56"/>
        <v>17138.5092</v>
      </c>
      <c r="BF36" s="95">
        <f t="shared" si="56"/>
        <v>17138.5092</v>
      </c>
      <c r="BG36" s="95">
        <f t="shared" si="56"/>
        <v>17138.5092</v>
      </c>
      <c r="BH36" s="95">
        <f t="shared" si="56"/>
        <v>17138.5092</v>
      </c>
      <c r="BI36" s="95">
        <f t="shared" si="56"/>
        <v>17138.5092</v>
      </c>
      <c r="BJ36" s="95">
        <f t="shared" si="56"/>
        <v>17138.5092</v>
      </c>
      <c r="BK36" s="95">
        <f t="shared" si="56"/>
        <v>17138.5092</v>
      </c>
      <c r="BL36" s="95">
        <f t="shared" si="56"/>
        <v>17138.5092</v>
      </c>
    </row>
    <row r="37" ht="14.25" customHeight="1"/>
    <row r="38" ht="14.25" customHeight="1">
      <c r="A38" s="96" t="s">
        <v>140</v>
      </c>
      <c r="B38" s="94"/>
      <c r="C38" s="94"/>
      <c r="D38" s="94"/>
      <c r="E38" s="95">
        <f t="shared" ref="E38:BL38" si="57">E28-E36</f>
        <v>34056.875</v>
      </c>
      <c r="F38" s="95">
        <f t="shared" si="57"/>
        <v>34056.875</v>
      </c>
      <c r="G38" s="95">
        <f t="shared" si="57"/>
        <v>34056.875</v>
      </c>
      <c r="H38" s="95">
        <f t="shared" si="57"/>
        <v>34056.875</v>
      </c>
      <c r="I38" s="95">
        <f t="shared" si="57"/>
        <v>34056.875</v>
      </c>
      <c r="J38" s="95">
        <f t="shared" si="57"/>
        <v>34056.875</v>
      </c>
      <c r="K38" s="95">
        <f t="shared" si="57"/>
        <v>34056.875</v>
      </c>
      <c r="L38" s="95">
        <f t="shared" si="57"/>
        <v>34056.875</v>
      </c>
      <c r="M38" s="95">
        <f t="shared" si="57"/>
        <v>34056.875</v>
      </c>
      <c r="N38" s="95">
        <f t="shared" si="57"/>
        <v>34056.875</v>
      </c>
      <c r="O38" s="95">
        <f t="shared" si="57"/>
        <v>34056.875</v>
      </c>
      <c r="P38" s="95">
        <f t="shared" si="57"/>
        <v>34056.875</v>
      </c>
      <c r="Q38" s="95">
        <f t="shared" si="57"/>
        <v>35551.91458</v>
      </c>
      <c r="R38" s="95">
        <f t="shared" si="57"/>
        <v>35551.91458</v>
      </c>
      <c r="S38" s="95">
        <f t="shared" si="57"/>
        <v>35551.91458</v>
      </c>
      <c r="T38" s="95">
        <f t="shared" si="57"/>
        <v>35551.91458</v>
      </c>
      <c r="U38" s="95">
        <f t="shared" si="57"/>
        <v>35551.91458</v>
      </c>
      <c r="V38" s="95">
        <f t="shared" si="57"/>
        <v>35551.91458</v>
      </c>
      <c r="W38" s="95">
        <f t="shared" si="57"/>
        <v>35551.91458</v>
      </c>
      <c r="X38" s="95">
        <f t="shared" si="57"/>
        <v>35551.91458</v>
      </c>
      <c r="Y38" s="95">
        <f t="shared" si="57"/>
        <v>35551.91458</v>
      </c>
      <c r="Z38" s="95">
        <f t="shared" si="57"/>
        <v>35551.91458</v>
      </c>
      <c r="AA38" s="95">
        <f t="shared" si="57"/>
        <v>35551.91458</v>
      </c>
      <c r="AB38" s="95">
        <f t="shared" si="57"/>
        <v>35551.91458</v>
      </c>
      <c r="AC38" s="95">
        <f t="shared" si="57"/>
        <v>37110.72202</v>
      </c>
      <c r="AD38" s="95">
        <f t="shared" si="57"/>
        <v>37110.72202</v>
      </c>
      <c r="AE38" s="95">
        <f t="shared" si="57"/>
        <v>37110.72202</v>
      </c>
      <c r="AF38" s="95">
        <f t="shared" si="57"/>
        <v>37110.72202</v>
      </c>
      <c r="AG38" s="95">
        <f t="shared" si="57"/>
        <v>37110.72202</v>
      </c>
      <c r="AH38" s="95">
        <f t="shared" si="57"/>
        <v>37110.72202</v>
      </c>
      <c r="AI38" s="95">
        <f t="shared" si="57"/>
        <v>37110.72202</v>
      </c>
      <c r="AJ38" s="95">
        <f t="shared" si="57"/>
        <v>37110.72202</v>
      </c>
      <c r="AK38" s="95">
        <f t="shared" si="57"/>
        <v>37110.72202</v>
      </c>
      <c r="AL38" s="95">
        <f t="shared" si="57"/>
        <v>37110.72202</v>
      </c>
      <c r="AM38" s="95">
        <f t="shared" si="57"/>
        <v>37110.72202</v>
      </c>
      <c r="AN38" s="95">
        <f t="shared" si="57"/>
        <v>37110.72202</v>
      </c>
      <c r="AO38" s="95">
        <f t="shared" si="57"/>
        <v>38736.06118</v>
      </c>
      <c r="AP38" s="95">
        <f t="shared" si="57"/>
        <v>38736.06118</v>
      </c>
      <c r="AQ38" s="95">
        <f t="shared" si="57"/>
        <v>38736.06118</v>
      </c>
      <c r="AR38" s="95">
        <f t="shared" si="57"/>
        <v>38736.06118</v>
      </c>
      <c r="AS38" s="95">
        <f t="shared" si="57"/>
        <v>38736.06118</v>
      </c>
      <c r="AT38" s="95">
        <f t="shared" si="57"/>
        <v>38736.06118</v>
      </c>
      <c r="AU38" s="95">
        <f t="shared" si="57"/>
        <v>38736.06118</v>
      </c>
      <c r="AV38" s="95">
        <f t="shared" si="57"/>
        <v>38736.06118</v>
      </c>
      <c r="AW38" s="95">
        <f t="shared" si="57"/>
        <v>38736.06118</v>
      </c>
      <c r="AX38" s="95">
        <f t="shared" si="57"/>
        <v>38736.06118</v>
      </c>
      <c r="AY38" s="95">
        <f t="shared" si="57"/>
        <v>38736.06118</v>
      </c>
      <c r="AZ38" s="95">
        <f t="shared" si="57"/>
        <v>38736.06118</v>
      </c>
      <c r="BA38" s="95">
        <f t="shared" si="57"/>
        <v>40430.81949</v>
      </c>
      <c r="BB38" s="95">
        <f t="shared" si="57"/>
        <v>40430.81949</v>
      </c>
      <c r="BC38" s="95">
        <f t="shared" si="57"/>
        <v>40430.81949</v>
      </c>
      <c r="BD38" s="95">
        <f t="shared" si="57"/>
        <v>40430.81949</v>
      </c>
      <c r="BE38" s="95">
        <f t="shared" si="57"/>
        <v>40430.81949</v>
      </c>
      <c r="BF38" s="95">
        <f t="shared" si="57"/>
        <v>40430.81949</v>
      </c>
      <c r="BG38" s="95">
        <f t="shared" si="57"/>
        <v>40430.81949</v>
      </c>
      <c r="BH38" s="95">
        <f t="shared" si="57"/>
        <v>40430.81949</v>
      </c>
      <c r="BI38" s="95">
        <f t="shared" si="57"/>
        <v>40430.81949</v>
      </c>
      <c r="BJ38" s="95">
        <f t="shared" si="57"/>
        <v>40430.81949</v>
      </c>
      <c r="BK38" s="95">
        <f t="shared" si="57"/>
        <v>40430.81949</v>
      </c>
      <c r="BL38" s="95">
        <f t="shared" si="57"/>
        <v>40430.81949</v>
      </c>
    </row>
    <row r="39" ht="14.25" customHeight="1">
      <c r="A39" s="6"/>
    </row>
    <row r="40" ht="14.25" customHeight="1">
      <c r="A40" s="90" t="s">
        <v>141</v>
      </c>
      <c r="B40" s="94"/>
      <c r="C40" s="94"/>
      <c r="D40" s="94"/>
      <c r="E40" s="95">
        <f t="shared" ref="E40:BL40" si="58">E38</f>
        <v>34056.875</v>
      </c>
      <c r="F40" s="95">
        <f t="shared" si="58"/>
        <v>34056.875</v>
      </c>
      <c r="G40" s="95">
        <f t="shared" si="58"/>
        <v>34056.875</v>
      </c>
      <c r="H40" s="95">
        <f t="shared" si="58"/>
        <v>34056.875</v>
      </c>
      <c r="I40" s="95">
        <f t="shared" si="58"/>
        <v>34056.875</v>
      </c>
      <c r="J40" s="95">
        <f t="shared" si="58"/>
        <v>34056.875</v>
      </c>
      <c r="K40" s="95">
        <f t="shared" si="58"/>
        <v>34056.875</v>
      </c>
      <c r="L40" s="95">
        <f t="shared" si="58"/>
        <v>34056.875</v>
      </c>
      <c r="M40" s="95">
        <f t="shared" si="58"/>
        <v>34056.875</v>
      </c>
      <c r="N40" s="95">
        <f t="shared" si="58"/>
        <v>34056.875</v>
      </c>
      <c r="O40" s="95">
        <f t="shared" si="58"/>
        <v>34056.875</v>
      </c>
      <c r="P40" s="95">
        <f t="shared" si="58"/>
        <v>34056.875</v>
      </c>
      <c r="Q40" s="95">
        <f t="shared" si="58"/>
        <v>35551.91458</v>
      </c>
      <c r="R40" s="95">
        <f t="shared" si="58"/>
        <v>35551.91458</v>
      </c>
      <c r="S40" s="95">
        <f t="shared" si="58"/>
        <v>35551.91458</v>
      </c>
      <c r="T40" s="95">
        <f t="shared" si="58"/>
        <v>35551.91458</v>
      </c>
      <c r="U40" s="95">
        <f t="shared" si="58"/>
        <v>35551.91458</v>
      </c>
      <c r="V40" s="95">
        <f t="shared" si="58"/>
        <v>35551.91458</v>
      </c>
      <c r="W40" s="95">
        <f t="shared" si="58"/>
        <v>35551.91458</v>
      </c>
      <c r="X40" s="95">
        <f t="shared" si="58"/>
        <v>35551.91458</v>
      </c>
      <c r="Y40" s="95">
        <f t="shared" si="58"/>
        <v>35551.91458</v>
      </c>
      <c r="Z40" s="95">
        <f t="shared" si="58"/>
        <v>35551.91458</v>
      </c>
      <c r="AA40" s="95">
        <f t="shared" si="58"/>
        <v>35551.91458</v>
      </c>
      <c r="AB40" s="95">
        <f t="shared" si="58"/>
        <v>35551.91458</v>
      </c>
      <c r="AC40" s="95">
        <f t="shared" si="58"/>
        <v>37110.72202</v>
      </c>
      <c r="AD40" s="95">
        <f t="shared" si="58"/>
        <v>37110.72202</v>
      </c>
      <c r="AE40" s="95">
        <f t="shared" si="58"/>
        <v>37110.72202</v>
      </c>
      <c r="AF40" s="95">
        <f t="shared" si="58"/>
        <v>37110.72202</v>
      </c>
      <c r="AG40" s="95">
        <f t="shared" si="58"/>
        <v>37110.72202</v>
      </c>
      <c r="AH40" s="95">
        <f t="shared" si="58"/>
        <v>37110.72202</v>
      </c>
      <c r="AI40" s="95">
        <f t="shared" si="58"/>
        <v>37110.72202</v>
      </c>
      <c r="AJ40" s="95">
        <f t="shared" si="58"/>
        <v>37110.72202</v>
      </c>
      <c r="AK40" s="95">
        <f t="shared" si="58"/>
        <v>37110.72202</v>
      </c>
      <c r="AL40" s="95">
        <f t="shared" si="58"/>
        <v>37110.72202</v>
      </c>
      <c r="AM40" s="95">
        <f t="shared" si="58"/>
        <v>37110.72202</v>
      </c>
      <c r="AN40" s="95">
        <f t="shared" si="58"/>
        <v>37110.72202</v>
      </c>
      <c r="AO40" s="95">
        <f t="shared" si="58"/>
        <v>38736.06118</v>
      </c>
      <c r="AP40" s="95">
        <f t="shared" si="58"/>
        <v>38736.06118</v>
      </c>
      <c r="AQ40" s="95">
        <f t="shared" si="58"/>
        <v>38736.06118</v>
      </c>
      <c r="AR40" s="95">
        <f t="shared" si="58"/>
        <v>38736.06118</v>
      </c>
      <c r="AS40" s="95">
        <f t="shared" si="58"/>
        <v>38736.06118</v>
      </c>
      <c r="AT40" s="95">
        <f t="shared" si="58"/>
        <v>38736.06118</v>
      </c>
      <c r="AU40" s="95">
        <f t="shared" si="58"/>
        <v>38736.06118</v>
      </c>
      <c r="AV40" s="95">
        <f t="shared" si="58"/>
        <v>38736.06118</v>
      </c>
      <c r="AW40" s="95">
        <f t="shared" si="58"/>
        <v>38736.06118</v>
      </c>
      <c r="AX40" s="95">
        <f t="shared" si="58"/>
        <v>38736.06118</v>
      </c>
      <c r="AY40" s="95">
        <f t="shared" si="58"/>
        <v>38736.06118</v>
      </c>
      <c r="AZ40" s="95">
        <f t="shared" si="58"/>
        <v>38736.06118</v>
      </c>
      <c r="BA40" s="95">
        <f t="shared" si="58"/>
        <v>40430.81949</v>
      </c>
      <c r="BB40" s="95">
        <f t="shared" si="58"/>
        <v>40430.81949</v>
      </c>
      <c r="BC40" s="95">
        <f t="shared" si="58"/>
        <v>40430.81949</v>
      </c>
      <c r="BD40" s="95">
        <f t="shared" si="58"/>
        <v>40430.81949</v>
      </c>
      <c r="BE40" s="95">
        <f t="shared" si="58"/>
        <v>40430.81949</v>
      </c>
      <c r="BF40" s="95">
        <f t="shared" si="58"/>
        <v>40430.81949</v>
      </c>
      <c r="BG40" s="95">
        <f t="shared" si="58"/>
        <v>40430.81949</v>
      </c>
      <c r="BH40" s="95">
        <f t="shared" si="58"/>
        <v>40430.81949</v>
      </c>
      <c r="BI40" s="95">
        <f t="shared" si="58"/>
        <v>40430.81949</v>
      </c>
      <c r="BJ40" s="95">
        <f t="shared" si="58"/>
        <v>40430.81949</v>
      </c>
      <c r="BK40" s="95">
        <f t="shared" si="58"/>
        <v>40430.81949</v>
      </c>
      <c r="BL40" s="95">
        <f t="shared" si="58"/>
        <v>40430.81949</v>
      </c>
    </row>
    <row r="41" ht="14.25" customHeight="1">
      <c r="A41" s="80"/>
    </row>
    <row r="42" ht="14.25" customHeight="1">
      <c r="A42" s="80" t="s">
        <v>142</v>
      </c>
      <c r="E42" s="89">
        <f t="shared" ref="E42:BL42" si="59">INDIRECT("Amortization!D" &amp; (COLUMN()-3))</f>
        <v>12500</v>
      </c>
      <c r="F42" s="89">
        <f t="shared" si="59"/>
        <v>12475.68706</v>
      </c>
      <c r="G42" s="89">
        <f t="shared" si="59"/>
        <v>12451.29308</v>
      </c>
      <c r="H42" s="89">
        <f t="shared" si="59"/>
        <v>12426.81779</v>
      </c>
      <c r="I42" s="89">
        <f t="shared" si="59"/>
        <v>12402.26091</v>
      </c>
      <c r="J42" s="89">
        <f t="shared" si="59"/>
        <v>12377.62217</v>
      </c>
      <c r="K42" s="89">
        <f t="shared" si="59"/>
        <v>12352.90131</v>
      </c>
      <c r="L42" s="89">
        <f t="shared" si="59"/>
        <v>12328.09804</v>
      </c>
      <c r="M42" s="89">
        <f t="shared" si="59"/>
        <v>12303.21209</v>
      </c>
      <c r="N42" s="89">
        <f t="shared" si="59"/>
        <v>12278.2432</v>
      </c>
      <c r="O42" s="89">
        <f t="shared" si="59"/>
        <v>12253.19107</v>
      </c>
      <c r="P42" s="89">
        <f t="shared" si="59"/>
        <v>12228.05543</v>
      </c>
      <c r="Q42" s="89">
        <f t="shared" si="59"/>
        <v>12202.83601</v>
      </c>
      <c r="R42" s="89">
        <f t="shared" si="59"/>
        <v>12177.53253</v>
      </c>
      <c r="S42" s="89">
        <f t="shared" si="59"/>
        <v>12152.1447</v>
      </c>
      <c r="T42" s="89">
        <f t="shared" si="59"/>
        <v>12126.67224</v>
      </c>
      <c r="U42" s="89">
        <f t="shared" si="59"/>
        <v>12101.11488</v>
      </c>
      <c r="V42" s="89">
        <f t="shared" si="59"/>
        <v>12075.47232</v>
      </c>
      <c r="W42" s="89">
        <f t="shared" si="59"/>
        <v>12049.74429</v>
      </c>
      <c r="X42" s="89">
        <f t="shared" si="59"/>
        <v>12023.9305</v>
      </c>
      <c r="Y42" s="89">
        <f t="shared" si="59"/>
        <v>11998.03066</v>
      </c>
      <c r="Z42" s="89">
        <f t="shared" si="59"/>
        <v>11972.0445</v>
      </c>
      <c r="AA42" s="89">
        <f t="shared" si="59"/>
        <v>11945.97171</v>
      </c>
      <c r="AB42" s="89">
        <f t="shared" si="59"/>
        <v>11919.81201</v>
      </c>
      <c r="AC42" s="89">
        <f t="shared" si="59"/>
        <v>11893.56511</v>
      </c>
      <c r="AD42" s="89">
        <f t="shared" si="59"/>
        <v>11867.23072</v>
      </c>
      <c r="AE42" s="89">
        <f t="shared" si="59"/>
        <v>11840.80855</v>
      </c>
      <c r="AF42" s="89">
        <f t="shared" si="59"/>
        <v>11814.29831</v>
      </c>
      <c r="AG42" s="89">
        <f t="shared" si="59"/>
        <v>11787.6997</v>
      </c>
      <c r="AH42" s="89">
        <f t="shared" si="59"/>
        <v>11761.01242</v>
      </c>
      <c r="AI42" s="89">
        <f t="shared" si="59"/>
        <v>11734.23619</v>
      </c>
      <c r="AJ42" s="89">
        <f t="shared" si="59"/>
        <v>11707.37071</v>
      </c>
      <c r="AK42" s="89">
        <f t="shared" si="59"/>
        <v>11680.41567</v>
      </c>
      <c r="AL42" s="89">
        <f t="shared" si="59"/>
        <v>11653.37079</v>
      </c>
      <c r="AM42" s="89">
        <f t="shared" si="59"/>
        <v>11626.23575</v>
      </c>
      <c r="AN42" s="89">
        <f t="shared" si="59"/>
        <v>11599.01027</v>
      </c>
      <c r="AO42" s="89">
        <f t="shared" si="59"/>
        <v>11571.69403</v>
      </c>
      <c r="AP42" s="89">
        <f t="shared" si="59"/>
        <v>11544.28674</v>
      </c>
      <c r="AQ42" s="89">
        <f t="shared" si="59"/>
        <v>11516.78809</v>
      </c>
      <c r="AR42" s="89">
        <f t="shared" si="59"/>
        <v>11489.19778</v>
      </c>
      <c r="AS42" s="89">
        <f t="shared" si="59"/>
        <v>11461.5155</v>
      </c>
      <c r="AT42" s="89">
        <f t="shared" si="59"/>
        <v>11433.74094</v>
      </c>
      <c r="AU42" s="89">
        <f t="shared" si="59"/>
        <v>11405.87381</v>
      </c>
      <c r="AV42" s="89">
        <f t="shared" si="59"/>
        <v>11377.91378</v>
      </c>
      <c r="AW42" s="89">
        <f t="shared" si="59"/>
        <v>11349.86056</v>
      </c>
      <c r="AX42" s="89">
        <f t="shared" si="59"/>
        <v>11321.71382</v>
      </c>
      <c r="AY42" s="89">
        <f t="shared" si="59"/>
        <v>11293.47326</v>
      </c>
      <c r="AZ42" s="89">
        <f t="shared" si="59"/>
        <v>11265.13857</v>
      </c>
      <c r="BA42" s="89">
        <f t="shared" si="59"/>
        <v>11236.70942</v>
      </c>
      <c r="BB42" s="89">
        <f t="shared" si="59"/>
        <v>11208.18552</v>
      </c>
      <c r="BC42" s="89">
        <f t="shared" si="59"/>
        <v>11179.56653</v>
      </c>
      <c r="BD42" s="89">
        <f t="shared" si="59"/>
        <v>11150.85215</v>
      </c>
      <c r="BE42" s="89">
        <f t="shared" si="59"/>
        <v>11122.04205</v>
      </c>
      <c r="BF42" s="89">
        <f t="shared" si="59"/>
        <v>11093.13592</v>
      </c>
      <c r="BG42" s="89">
        <f t="shared" si="59"/>
        <v>11064.13343</v>
      </c>
      <c r="BH42" s="89">
        <f t="shared" si="59"/>
        <v>11035.03427</v>
      </c>
      <c r="BI42" s="89">
        <f t="shared" si="59"/>
        <v>11005.83811</v>
      </c>
      <c r="BJ42" s="89">
        <f t="shared" si="59"/>
        <v>10976.54464</v>
      </c>
      <c r="BK42" s="89">
        <f t="shared" si="59"/>
        <v>10947.15351</v>
      </c>
      <c r="BL42" s="89">
        <f t="shared" si="59"/>
        <v>10917.66442</v>
      </c>
    </row>
    <row r="43" ht="14.25" customHeight="1">
      <c r="A43" s="80" t="s">
        <v>143</v>
      </c>
      <c r="E43" s="89">
        <f t="shared" ref="E43:BL43" si="60">INDIRECT("Amortization!e" &amp; (COLUMN()-3))</f>
        <v>7293.881511</v>
      </c>
      <c r="F43" s="89">
        <f t="shared" si="60"/>
        <v>7318.19445</v>
      </c>
      <c r="G43" s="89">
        <f t="shared" si="60"/>
        <v>7342.588431</v>
      </c>
      <c r="H43" s="89">
        <f t="shared" si="60"/>
        <v>7367.063726</v>
      </c>
      <c r="I43" s="89">
        <f t="shared" si="60"/>
        <v>7391.620605</v>
      </c>
      <c r="J43" s="89">
        <f t="shared" si="60"/>
        <v>7416.25934</v>
      </c>
      <c r="K43" s="89">
        <f t="shared" si="60"/>
        <v>7440.980205</v>
      </c>
      <c r="L43" s="89">
        <f t="shared" si="60"/>
        <v>7465.783472</v>
      </c>
      <c r="M43" s="89">
        <f t="shared" si="60"/>
        <v>7490.669417</v>
      </c>
      <c r="N43" s="89">
        <f t="shared" si="60"/>
        <v>7515.638315</v>
      </c>
      <c r="O43" s="89">
        <f t="shared" si="60"/>
        <v>7540.690443</v>
      </c>
      <c r="P43" s="89">
        <f t="shared" si="60"/>
        <v>7565.826078</v>
      </c>
      <c r="Q43" s="89">
        <f t="shared" si="60"/>
        <v>7591.045498</v>
      </c>
      <c r="R43" s="89">
        <f t="shared" si="60"/>
        <v>7616.348983</v>
      </c>
      <c r="S43" s="89">
        <f t="shared" si="60"/>
        <v>7641.736813</v>
      </c>
      <c r="T43" s="89">
        <f t="shared" si="60"/>
        <v>7667.209269</v>
      </c>
      <c r="U43" s="89">
        <f t="shared" si="60"/>
        <v>7692.766633</v>
      </c>
      <c r="V43" s="89">
        <f t="shared" si="60"/>
        <v>7718.409188</v>
      </c>
      <c r="W43" s="89">
        <f t="shared" si="60"/>
        <v>7744.137219</v>
      </c>
      <c r="X43" s="89">
        <f t="shared" si="60"/>
        <v>7769.95101</v>
      </c>
      <c r="Y43" s="89">
        <f t="shared" si="60"/>
        <v>7795.850847</v>
      </c>
      <c r="Z43" s="89">
        <f t="shared" si="60"/>
        <v>7821.837016</v>
      </c>
      <c r="AA43" s="89">
        <f t="shared" si="60"/>
        <v>7847.909806</v>
      </c>
      <c r="AB43" s="89">
        <f t="shared" si="60"/>
        <v>7874.069505</v>
      </c>
      <c r="AC43" s="89">
        <f t="shared" si="60"/>
        <v>7900.316404</v>
      </c>
      <c r="AD43" s="89">
        <f t="shared" si="60"/>
        <v>7926.650792</v>
      </c>
      <c r="AE43" s="89">
        <f t="shared" si="60"/>
        <v>7953.072961</v>
      </c>
      <c r="AF43" s="89">
        <f t="shared" si="60"/>
        <v>7979.583204</v>
      </c>
      <c r="AG43" s="89">
        <f t="shared" si="60"/>
        <v>8006.181815</v>
      </c>
      <c r="AH43" s="89">
        <f t="shared" si="60"/>
        <v>8032.869088</v>
      </c>
      <c r="AI43" s="89">
        <f t="shared" si="60"/>
        <v>8059.645318</v>
      </c>
      <c r="AJ43" s="89">
        <f t="shared" si="60"/>
        <v>8086.510802</v>
      </c>
      <c r="AK43" s="89">
        <f t="shared" si="60"/>
        <v>8113.465838</v>
      </c>
      <c r="AL43" s="89">
        <f t="shared" si="60"/>
        <v>8140.510725</v>
      </c>
      <c r="AM43" s="89">
        <f t="shared" si="60"/>
        <v>8167.64576</v>
      </c>
      <c r="AN43" s="89">
        <f t="shared" si="60"/>
        <v>8194.871246</v>
      </c>
      <c r="AO43" s="89">
        <f t="shared" si="60"/>
        <v>8222.187484</v>
      </c>
      <c r="AP43" s="89">
        <f t="shared" si="60"/>
        <v>8249.594775</v>
      </c>
      <c r="AQ43" s="89">
        <f t="shared" si="60"/>
        <v>8277.093424</v>
      </c>
      <c r="AR43" s="89">
        <f t="shared" si="60"/>
        <v>8304.683736</v>
      </c>
      <c r="AS43" s="89">
        <f t="shared" si="60"/>
        <v>8332.366015</v>
      </c>
      <c r="AT43" s="89">
        <f t="shared" si="60"/>
        <v>8360.140568</v>
      </c>
      <c r="AU43" s="89">
        <f t="shared" si="60"/>
        <v>8388.007704</v>
      </c>
      <c r="AV43" s="89">
        <f t="shared" si="60"/>
        <v>8415.967729</v>
      </c>
      <c r="AW43" s="89">
        <f t="shared" si="60"/>
        <v>8444.020955</v>
      </c>
      <c r="AX43" s="89">
        <f t="shared" si="60"/>
        <v>8472.167692</v>
      </c>
      <c r="AY43" s="89">
        <f t="shared" si="60"/>
        <v>8500.408251</v>
      </c>
      <c r="AZ43" s="89">
        <f t="shared" si="60"/>
        <v>8528.742945</v>
      </c>
      <c r="BA43" s="89">
        <f t="shared" si="60"/>
        <v>8557.172088</v>
      </c>
      <c r="BB43" s="89">
        <f t="shared" si="60"/>
        <v>8585.695995</v>
      </c>
      <c r="BC43" s="89">
        <f t="shared" si="60"/>
        <v>8614.314981</v>
      </c>
      <c r="BD43" s="89">
        <f t="shared" si="60"/>
        <v>8643.029365</v>
      </c>
      <c r="BE43" s="89">
        <f t="shared" si="60"/>
        <v>8671.839463</v>
      </c>
      <c r="BF43" s="89">
        <f t="shared" si="60"/>
        <v>8700.745594</v>
      </c>
      <c r="BG43" s="89">
        <f t="shared" si="60"/>
        <v>8729.748079</v>
      </c>
      <c r="BH43" s="89">
        <f t="shared" si="60"/>
        <v>8758.84724</v>
      </c>
      <c r="BI43" s="89">
        <f t="shared" si="60"/>
        <v>8788.043397</v>
      </c>
      <c r="BJ43" s="89">
        <f t="shared" si="60"/>
        <v>8817.336875</v>
      </c>
      <c r="BK43" s="89">
        <f t="shared" si="60"/>
        <v>8846.727998</v>
      </c>
      <c r="BL43" s="89">
        <f t="shared" si="60"/>
        <v>8876.217091</v>
      </c>
    </row>
    <row r="44" ht="14.25" customHeight="1">
      <c r="A44" s="97" t="s">
        <v>144</v>
      </c>
      <c r="B44" s="98"/>
      <c r="C44" s="98"/>
      <c r="D44" s="98"/>
      <c r="E44" s="99">
        <f t="shared" ref="E44:BL44" si="61">E42+E43</f>
        <v>19793.88151</v>
      </c>
      <c r="F44" s="99">
        <f t="shared" si="61"/>
        <v>19793.88151</v>
      </c>
      <c r="G44" s="99">
        <f t="shared" si="61"/>
        <v>19793.88151</v>
      </c>
      <c r="H44" s="99">
        <f t="shared" si="61"/>
        <v>19793.88151</v>
      </c>
      <c r="I44" s="99">
        <f t="shared" si="61"/>
        <v>19793.88151</v>
      </c>
      <c r="J44" s="99">
        <f t="shared" si="61"/>
        <v>19793.88151</v>
      </c>
      <c r="K44" s="99">
        <f t="shared" si="61"/>
        <v>19793.88151</v>
      </c>
      <c r="L44" s="99">
        <f t="shared" si="61"/>
        <v>19793.88151</v>
      </c>
      <c r="M44" s="99">
        <f t="shared" si="61"/>
        <v>19793.88151</v>
      </c>
      <c r="N44" s="99">
        <f t="shared" si="61"/>
        <v>19793.88151</v>
      </c>
      <c r="O44" s="99">
        <f t="shared" si="61"/>
        <v>19793.88151</v>
      </c>
      <c r="P44" s="99">
        <f t="shared" si="61"/>
        <v>19793.88151</v>
      </c>
      <c r="Q44" s="99">
        <f t="shared" si="61"/>
        <v>19793.88151</v>
      </c>
      <c r="R44" s="99">
        <f t="shared" si="61"/>
        <v>19793.88151</v>
      </c>
      <c r="S44" s="99">
        <f t="shared" si="61"/>
        <v>19793.88151</v>
      </c>
      <c r="T44" s="99">
        <f t="shared" si="61"/>
        <v>19793.88151</v>
      </c>
      <c r="U44" s="99">
        <f t="shared" si="61"/>
        <v>19793.88151</v>
      </c>
      <c r="V44" s="99">
        <f t="shared" si="61"/>
        <v>19793.88151</v>
      </c>
      <c r="W44" s="99">
        <f t="shared" si="61"/>
        <v>19793.88151</v>
      </c>
      <c r="X44" s="99">
        <f t="shared" si="61"/>
        <v>19793.88151</v>
      </c>
      <c r="Y44" s="99">
        <f t="shared" si="61"/>
        <v>19793.88151</v>
      </c>
      <c r="Z44" s="99">
        <f t="shared" si="61"/>
        <v>19793.88151</v>
      </c>
      <c r="AA44" s="99">
        <f t="shared" si="61"/>
        <v>19793.88151</v>
      </c>
      <c r="AB44" s="99">
        <f t="shared" si="61"/>
        <v>19793.88151</v>
      </c>
      <c r="AC44" s="99">
        <f t="shared" si="61"/>
        <v>19793.88151</v>
      </c>
      <c r="AD44" s="99">
        <f t="shared" si="61"/>
        <v>19793.88151</v>
      </c>
      <c r="AE44" s="99">
        <f t="shared" si="61"/>
        <v>19793.88151</v>
      </c>
      <c r="AF44" s="99">
        <f t="shared" si="61"/>
        <v>19793.88151</v>
      </c>
      <c r="AG44" s="99">
        <f t="shared" si="61"/>
        <v>19793.88151</v>
      </c>
      <c r="AH44" s="99">
        <f t="shared" si="61"/>
        <v>19793.88151</v>
      </c>
      <c r="AI44" s="99">
        <f t="shared" si="61"/>
        <v>19793.88151</v>
      </c>
      <c r="AJ44" s="99">
        <f t="shared" si="61"/>
        <v>19793.88151</v>
      </c>
      <c r="AK44" s="99">
        <f t="shared" si="61"/>
        <v>19793.88151</v>
      </c>
      <c r="AL44" s="99">
        <f t="shared" si="61"/>
        <v>19793.88151</v>
      </c>
      <c r="AM44" s="99">
        <f t="shared" si="61"/>
        <v>19793.88151</v>
      </c>
      <c r="AN44" s="99">
        <f t="shared" si="61"/>
        <v>19793.88151</v>
      </c>
      <c r="AO44" s="99">
        <f t="shared" si="61"/>
        <v>19793.88151</v>
      </c>
      <c r="AP44" s="99">
        <f t="shared" si="61"/>
        <v>19793.88151</v>
      </c>
      <c r="AQ44" s="99">
        <f t="shared" si="61"/>
        <v>19793.88151</v>
      </c>
      <c r="AR44" s="99">
        <f t="shared" si="61"/>
        <v>19793.88151</v>
      </c>
      <c r="AS44" s="99">
        <f t="shared" si="61"/>
        <v>19793.88151</v>
      </c>
      <c r="AT44" s="99">
        <f t="shared" si="61"/>
        <v>19793.88151</v>
      </c>
      <c r="AU44" s="99">
        <f t="shared" si="61"/>
        <v>19793.88151</v>
      </c>
      <c r="AV44" s="99">
        <f t="shared" si="61"/>
        <v>19793.88151</v>
      </c>
      <c r="AW44" s="99">
        <f t="shared" si="61"/>
        <v>19793.88151</v>
      </c>
      <c r="AX44" s="99">
        <f t="shared" si="61"/>
        <v>19793.88151</v>
      </c>
      <c r="AY44" s="99">
        <f t="shared" si="61"/>
        <v>19793.88151</v>
      </c>
      <c r="AZ44" s="99">
        <f t="shared" si="61"/>
        <v>19793.88151</v>
      </c>
      <c r="BA44" s="99">
        <f t="shared" si="61"/>
        <v>19793.88151</v>
      </c>
      <c r="BB44" s="99">
        <f t="shared" si="61"/>
        <v>19793.88151</v>
      </c>
      <c r="BC44" s="99">
        <f t="shared" si="61"/>
        <v>19793.88151</v>
      </c>
      <c r="BD44" s="99">
        <f t="shared" si="61"/>
        <v>19793.88151</v>
      </c>
      <c r="BE44" s="99">
        <f t="shared" si="61"/>
        <v>19793.88151</v>
      </c>
      <c r="BF44" s="99">
        <f t="shared" si="61"/>
        <v>19793.88151</v>
      </c>
      <c r="BG44" s="99">
        <f t="shared" si="61"/>
        <v>19793.88151</v>
      </c>
      <c r="BH44" s="99">
        <f t="shared" si="61"/>
        <v>19793.88151</v>
      </c>
      <c r="BI44" s="99">
        <f t="shared" si="61"/>
        <v>19793.88151</v>
      </c>
      <c r="BJ44" s="99">
        <f t="shared" si="61"/>
        <v>19793.88151</v>
      </c>
      <c r="BK44" s="99">
        <f t="shared" si="61"/>
        <v>19793.88151</v>
      </c>
      <c r="BL44" s="99">
        <f t="shared" si="61"/>
        <v>19793.88151</v>
      </c>
    </row>
    <row r="45" ht="14.25" customHeight="1">
      <c r="A45" s="80"/>
    </row>
    <row r="46" ht="14.25" customHeight="1">
      <c r="A46" s="96" t="s">
        <v>145</v>
      </c>
      <c r="B46" s="94"/>
      <c r="C46" s="94"/>
      <c r="D46" s="94"/>
      <c r="E46" s="95">
        <f t="shared" ref="E46:BL46" si="62">E40-E44</f>
        <v>14262.99349</v>
      </c>
      <c r="F46" s="95">
        <f t="shared" si="62"/>
        <v>14262.99349</v>
      </c>
      <c r="G46" s="95">
        <f t="shared" si="62"/>
        <v>14262.99349</v>
      </c>
      <c r="H46" s="95">
        <f t="shared" si="62"/>
        <v>14262.99349</v>
      </c>
      <c r="I46" s="95">
        <f t="shared" si="62"/>
        <v>14262.99349</v>
      </c>
      <c r="J46" s="95">
        <f t="shared" si="62"/>
        <v>14262.99349</v>
      </c>
      <c r="K46" s="95">
        <f t="shared" si="62"/>
        <v>14262.99349</v>
      </c>
      <c r="L46" s="95">
        <f t="shared" si="62"/>
        <v>14262.99349</v>
      </c>
      <c r="M46" s="95">
        <f t="shared" si="62"/>
        <v>14262.99349</v>
      </c>
      <c r="N46" s="95">
        <f t="shared" si="62"/>
        <v>14262.99349</v>
      </c>
      <c r="O46" s="95">
        <f t="shared" si="62"/>
        <v>14262.99349</v>
      </c>
      <c r="P46" s="95">
        <f t="shared" si="62"/>
        <v>14262.99349</v>
      </c>
      <c r="Q46" s="95">
        <f t="shared" si="62"/>
        <v>15758.03307</v>
      </c>
      <c r="R46" s="95">
        <f t="shared" si="62"/>
        <v>15758.03307</v>
      </c>
      <c r="S46" s="95">
        <f t="shared" si="62"/>
        <v>15758.03307</v>
      </c>
      <c r="T46" s="95">
        <f t="shared" si="62"/>
        <v>15758.03307</v>
      </c>
      <c r="U46" s="95">
        <f t="shared" si="62"/>
        <v>15758.03307</v>
      </c>
      <c r="V46" s="95">
        <f t="shared" si="62"/>
        <v>15758.03307</v>
      </c>
      <c r="W46" s="95">
        <f t="shared" si="62"/>
        <v>15758.03307</v>
      </c>
      <c r="X46" s="95">
        <f t="shared" si="62"/>
        <v>15758.03307</v>
      </c>
      <c r="Y46" s="95">
        <f t="shared" si="62"/>
        <v>15758.03307</v>
      </c>
      <c r="Z46" s="95">
        <f t="shared" si="62"/>
        <v>15758.03307</v>
      </c>
      <c r="AA46" s="95">
        <f t="shared" si="62"/>
        <v>15758.03307</v>
      </c>
      <c r="AB46" s="95">
        <f t="shared" si="62"/>
        <v>15758.03307</v>
      </c>
      <c r="AC46" s="95">
        <f t="shared" si="62"/>
        <v>17316.84051</v>
      </c>
      <c r="AD46" s="95">
        <f t="shared" si="62"/>
        <v>17316.84051</v>
      </c>
      <c r="AE46" s="95">
        <f t="shared" si="62"/>
        <v>17316.84051</v>
      </c>
      <c r="AF46" s="95">
        <f t="shared" si="62"/>
        <v>17316.84051</v>
      </c>
      <c r="AG46" s="95">
        <f t="shared" si="62"/>
        <v>17316.84051</v>
      </c>
      <c r="AH46" s="95">
        <f t="shared" si="62"/>
        <v>17316.84051</v>
      </c>
      <c r="AI46" s="95">
        <f t="shared" si="62"/>
        <v>17316.84051</v>
      </c>
      <c r="AJ46" s="95">
        <f t="shared" si="62"/>
        <v>17316.84051</v>
      </c>
      <c r="AK46" s="95">
        <f t="shared" si="62"/>
        <v>17316.84051</v>
      </c>
      <c r="AL46" s="95">
        <f t="shared" si="62"/>
        <v>17316.84051</v>
      </c>
      <c r="AM46" s="95">
        <f t="shared" si="62"/>
        <v>17316.84051</v>
      </c>
      <c r="AN46" s="95">
        <f t="shared" si="62"/>
        <v>17316.84051</v>
      </c>
      <c r="AO46" s="95">
        <f t="shared" si="62"/>
        <v>18942.17967</v>
      </c>
      <c r="AP46" s="95">
        <f t="shared" si="62"/>
        <v>18942.17967</v>
      </c>
      <c r="AQ46" s="95">
        <f t="shared" si="62"/>
        <v>18942.17967</v>
      </c>
      <c r="AR46" s="95">
        <f t="shared" si="62"/>
        <v>18942.17967</v>
      </c>
      <c r="AS46" s="95">
        <f t="shared" si="62"/>
        <v>18942.17967</v>
      </c>
      <c r="AT46" s="95">
        <f t="shared" si="62"/>
        <v>18942.17967</v>
      </c>
      <c r="AU46" s="95">
        <f t="shared" si="62"/>
        <v>18942.17967</v>
      </c>
      <c r="AV46" s="95">
        <f t="shared" si="62"/>
        <v>18942.17967</v>
      </c>
      <c r="AW46" s="95">
        <f t="shared" si="62"/>
        <v>18942.17967</v>
      </c>
      <c r="AX46" s="95">
        <f t="shared" si="62"/>
        <v>18942.17967</v>
      </c>
      <c r="AY46" s="95">
        <f t="shared" si="62"/>
        <v>18942.17967</v>
      </c>
      <c r="AZ46" s="95">
        <f t="shared" si="62"/>
        <v>18942.17967</v>
      </c>
      <c r="BA46" s="95">
        <f t="shared" si="62"/>
        <v>20636.93798</v>
      </c>
      <c r="BB46" s="95">
        <f t="shared" si="62"/>
        <v>20636.93798</v>
      </c>
      <c r="BC46" s="95">
        <f t="shared" si="62"/>
        <v>20636.93798</v>
      </c>
      <c r="BD46" s="95">
        <f t="shared" si="62"/>
        <v>20636.93798</v>
      </c>
      <c r="BE46" s="95">
        <f t="shared" si="62"/>
        <v>20636.93798</v>
      </c>
      <c r="BF46" s="95">
        <f t="shared" si="62"/>
        <v>20636.93798</v>
      </c>
      <c r="BG46" s="95">
        <f t="shared" si="62"/>
        <v>20636.93798</v>
      </c>
      <c r="BH46" s="95">
        <f t="shared" si="62"/>
        <v>20636.93798</v>
      </c>
      <c r="BI46" s="95">
        <f t="shared" si="62"/>
        <v>20636.93798</v>
      </c>
      <c r="BJ46" s="95">
        <f t="shared" si="62"/>
        <v>20636.93798</v>
      </c>
      <c r="BK46" s="95">
        <f t="shared" si="62"/>
        <v>20636.93798</v>
      </c>
      <c r="BL46" s="95">
        <f t="shared" si="62"/>
        <v>20636.93798</v>
      </c>
    </row>
    <row r="47" ht="14.25" customHeight="1">
      <c r="D47" s="3">
        <v>-5000000.0</v>
      </c>
      <c r="E47" s="3" t="s">
        <v>146</v>
      </c>
    </row>
    <row r="48" ht="14.25" customHeight="1">
      <c r="A48" s="80" t="s">
        <v>147</v>
      </c>
      <c r="D48" s="3">
        <v>3750000.0</v>
      </c>
    </row>
    <row r="49" ht="14.25" customHeight="1">
      <c r="A49" s="3" t="s">
        <v>148</v>
      </c>
      <c r="D49" s="3">
        <v>-37500.0</v>
      </c>
    </row>
    <row r="50" ht="14.25" customHeight="1">
      <c r="D50" s="2">
        <f>D47+D48-D49</f>
        <v>-1212500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3.63"/>
    <col customWidth="1" min="2" max="2" width="5.5"/>
    <col customWidth="1" min="3" max="4" width="12.13"/>
    <col customWidth="1" min="5" max="5" width="11.5"/>
    <col customWidth="1" min="6" max="6" width="11.38"/>
    <col customWidth="1" min="7" max="7" width="11.25"/>
    <col customWidth="1" min="8" max="8" width="11.63"/>
    <col customWidth="1" min="9" max="26" width="14.38"/>
  </cols>
  <sheetData>
    <row r="1" ht="14.25" customHeight="1">
      <c r="H1" s="100"/>
    </row>
    <row r="2" ht="14.25" customHeight="1">
      <c r="A2" s="2" t="s">
        <v>149</v>
      </c>
      <c r="H2" s="100"/>
    </row>
    <row r="3" ht="14.25" customHeight="1">
      <c r="H3" s="100"/>
    </row>
    <row r="4" ht="14.25" customHeight="1">
      <c r="A4" s="101"/>
      <c r="B4" s="101"/>
      <c r="C4" s="102">
        <v>0.0</v>
      </c>
      <c r="D4" s="103">
        <v>1.0</v>
      </c>
      <c r="E4" s="103">
        <v>2.0</v>
      </c>
      <c r="F4" s="103">
        <v>3.0</v>
      </c>
      <c r="G4" s="103">
        <v>4.0</v>
      </c>
      <c r="H4" s="104">
        <v>5.0</v>
      </c>
    </row>
    <row r="5" ht="14.25" customHeight="1">
      <c r="A5" s="3" t="s">
        <v>145</v>
      </c>
      <c r="D5" s="89">
        <f>SUM('Monthly Cashflow'!E46:'Monthly Cashflow'!P46)</f>
        <v>171155.9219</v>
      </c>
      <c r="E5" s="89">
        <f>SUM('Monthly Cashflow'!Q46:'Monthly Cashflow'!AB46)</f>
        <v>189096.3969</v>
      </c>
      <c r="F5" s="89">
        <f>SUM('Monthly Cashflow'!AC46:'Monthly Cashflow'!AN46)</f>
        <v>207802.0861</v>
      </c>
      <c r="G5" s="89">
        <f>SUM('Monthly Cashflow'!AO46:'Monthly Cashflow'!AZ46)</f>
        <v>227306.156</v>
      </c>
      <c r="H5" s="105">
        <f>SUM('Monthly Cashflow'!BA46:'Monthly Cashflow'!BL46)</f>
        <v>247643.2558</v>
      </c>
    </row>
    <row r="6" ht="14.25" customHeight="1">
      <c r="A6" s="106" t="s">
        <v>150</v>
      </c>
      <c r="B6" s="107"/>
      <c r="C6" s="106">
        <v>-1287500.0</v>
      </c>
      <c r="D6" s="108"/>
      <c r="E6" s="108"/>
      <c r="F6" s="108"/>
      <c r="G6" s="108"/>
      <c r="H6" s="109"/>
      <c r="S6" s="107"/>
      <c r="T6" s="107"/>
      <c r="U6" s="107"/>
      <c r="V6" s="107"/>
      <c r="W6" s="107"/>
      <c r="X6" s="107"/>
      <c r="Y6" s="107"/>
      <c r="Z6" s="107"/>
    </row>
    <row r="7" ht="14.25" customHeight="1">
      <c r="A7" s="3" t="s">
        <v>151</v>
      </c>
      <c r="D7" s="89"/>
      <c r="E7" s="89"/>
      <c r="F7" s="89"/>
      <c r="G7" s="89"/>
      <c r="H7" s="105">
        <f>SUM('Monthly Cashflow'!BA38:'Monthly Cashflow'!BL38)</f>
        <v>485169.8339</v>
      </c>
    </row>
    <row r="8" ht="14.25" customHeight="1">
      <c r="A8" s="106" t="s">
        <v>152</v>
      </c>
      <c r="B8" s="107"/>
      <c r="C8" s="107"/>
      <c r="D8" s="108"/>
      <c r="E8" s="108"/>
      <c r="F8" s="108"/>
      <c r="G8" s="108"/>
      <c r="H8" s="109">
        <f>H7/0.075</f>
        <v>6468931.119</v>
      </c>
      <c r="S8" s="107"/>
      <c r="T8" s="107"/>
      <c r="U8" s="107"/>
      <c r="V8" s="107"/>
      <c r="W8" s="107"/>
      <c r="X8" s="107"/>
      <c r="Y8" s="107"/>
      <c r="Z8" s="107"/>
    </row>
    <row r="9" ht="14.25" customHeight="1">
      <c r="A9" s="3" t="s">
        <v>153</v>
      </c>
      <c r="D9" s="89"/>
      <c r="E9" s="89"/>
      <c r="F9" s="89"/>
      <c r="G9" s="89"/>
      <c r="H9" s="105">
        <f>H8*-0.02</f>
        <v>-129378.6224</v>
      </c>
    </row>
    <row r="10" ht="14.25" customHeight="1">
      <c r="A10" s="106" t="s">
        <v>154</v>
      </c>
      <c r="B10" s="107"/>
      <c r="C10" s="107"/>
      <c r="D10" s="108"/>
      <c r="E10" s="108"/>
      <c r="F10" s="108"/>
      <c r="G10" s="108"/>
      <c r="H10" s="109">
        <f>H8+H9-H11</f>
        <v>3073129.388</v>
      </c>
      <c r="S10" s="107"/>
      <c r="T10" s="107"/>
      <c r="U10" s="107"/>
      <c r="V10" s="107"/>
      <c r="W10" s="107"/>
      <c r="X10" s="107"/>
      <c r="Y10" s="107"/>
      <c r="Z10" s="107"/>
    </row>
    <row r="11" ht="14.25" customHeight="1">
      <c r="A11" s="3" t="s">
        <v>155</v>
      </c>
      <c r="D11" s="89"/>
      <c r="E11" s="89"/>
      <c r="F11" s="89"/>
      <c r="G11" s="89"/>
      <c r="H11" s="105">
        <f>Amortization!F61</f>
        <v>3266423.109</v>
      </c>
    </row>
    <row r="12" ht="14.25" customHeight="1">
      <c r="A12" s="107"/>
      <c r="B12" s="107"/>
      <c r="C12" s="107"/>
      <c r="D12" s="108"/>
      <c r="E12" s="108"/>
      <c r="F12" s="108"/>
      <c r="G12" s="108"/>
      <c r="H12" s="109"/>
      <c r="S12" s="107"/>
      <c r="T12" s="107"/>
      <c r="U12" s="107"/>
      <c r="V12" s="107"/>
      <c r="W12" s="107"/>
      <c r="X12" s="107"/>
      <c r="Y12" s="107"/>
      <c r="Z12" s="107"/>
    </row>
    <row r="13" ht="14.25" customHeight="1">
      <c r="A13" s="110" t="s">
        <v>156</v>
      </c>
      <c r="D13" s="89"/>
      <c r="E13" s="89"/>
      <c r="F13" s="89"/>
      <c r="G13" s="89"/>
      <c r="H13" s="111">
        <f>H5+H10</f>
        <v>3320772.643</v>
      </c>
    </row>
    <row r="14" ht="14.25" customHeight="1">
      <c r="D14" s="89"/>
      <c r="E14" s="89"/>
      <c r="F14" s="89"/>
      <c r="G14" s="89"/>
      <c r="H14" s="89"/>
    </row>
    <row r="15" ht="14.25" customHeight="1">
      <c r="D15" s="89"/>
      <c r="E15" s="89"/>
      <c r="F15" s="89"/>
      <c r="G15" s="89"/>
      <c r="H15" s="89"/>
    </row>
    <row r="16" ht="14.25" customHeight="1">
      <c r="D16" s="89"/>
      <c r="E16" s="89"/>
      <c r="F16" s="89"/>
      <c r="G16" s="89"/>
      <c r="H16" s="89"/>
    </row>
    <row r="17" ht="14.25" customHeight="1">
      <c r="D17" s="89"/>
      <c r="E17" s="89"/>
      <c r="F17" s="89"/>
      <c r="G17" s="89"/>
      <c r="H17" s="89"/>
    </row>
    <row r="18" ht="14.25" customHeight="1">
      <c r="D18" s="89"/>
      <c r="E18" s="89"/>
      <c r="F18" s="89"/>
      <c r="G18" s="89"/>
      <c r="H18" s="89"/>
    </row>
    <row r="19" ht="14.25" customHeight="1">
      <c r="D19" s="89"/>
      <c r="E19" s="89"/>
      <c r="F19" s="89"/>
      <c r="G19" s="89"/>
      <c r="H19" s="89"/>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c r="H50" s="100"/>
    </row>
    <row r="51" ht="14.25" customHeight="1">
      <c r="H51" s="100"/>
    </row>
    <row r="52" ht="14.25" customHeight="1">
      <c r="H52" s="100"/>
    </row>
    <row r="53" ht="14.25" customHeight="1">
      <c r="H53" s="100"/>
    </row>
    <row r="54" ht="14.25" customHeight="1">
      <c r="H54" s="100"/>
    </row>
    <row r="55" ht="14.25" customHeight="1">
      <c r="H55" s="100"/>
    </row>
    <row r="56" ht="14.25" customHeight="1">
      <c r="H56" s="100"/>
    </row>
    <row r="57" ht="14.25" customHeight="1">
      <c r="H57" s="100"/>
    </row>
    <row r="58" ht="14.25" customHeight="1">
      <c r="H58" s="100"/>
    </row>
    <row r="59" ht="14.25" customHeight="1">
      <c r="H59" s="100"/>
    </row>
    <row r="60" ht="14.25" customHeight="1">
      <c r="H60" s="100"/>
    </row>
    <row r="61" ht="14.25" customHeight="1">
      <c r="H61" s="100"/>
    </row>
    <row r="62" ht="14.25" customHeight="1">
      <c r="H62" s="100"/>
    </row>
    <row r="63" ht="14.25" customHeight="1">
      <c r="H63" s="100"/>
    </row>
    <row r="64" ht="14.25" customHeight="1">
      <c r="H64" s="100"/>
    </row>
    <row r="65" ht="14.25" customHeight="1">
      <c r="H65" s="100"/>
    </row>
    <row r="66" ht="14.25" customHeight="1">
      <c r="H66" s="100"/>
    </row>
    <row r="67" ht="14.25" customHeight="1">
      <c r="H67" s="100"/>
    </row>
    <row r="68" ht="14.25" customHeight="1">
      <c r="H68" s="100"/>
    </row>
    <row r="69" ht="14.25" customHeight="1">
      <c r="H69" s="100"/>
    </row>
    <row r="70" ht="14.25" customHeight="1">
      <c r="H70" s="100"/>
    </row>
    <row r="71" ht="14.25" customHeight="1">
      <c r="H71" s="100"/>
    </row>
    <row r="72" ht="14.25" customHeight="1">
      <c r="H72" s="100"/>
    </row>
    <row r="73" ht="14.25" customHeight="1">
      <c r="H73" s="100"/>
    </row>
    <row r="74" ht="14.25" customHeight="1">
      <c r="H74" s="100"/>
    </row>
    <row r="75" ht="14.25" customHeight="1">
      <c r="H75" s="100"/>
    </row>
    <row r="76" ht="14.25" customHeight="1">
      <c r="H76" s="100"/>
    </row>
    <row r="77" ht="14.25" customHeight="1">
      <c r="H77" s="100"/>
    </row>
    <row r="78" ht="14.25" customHeight="1">
      <c r="H78" s="100"/>
    </row>
    <row r="79" ht="14.25" customHeight="1">
      <c r="H79" s="100"/>
    </row>
    <row r="80" ht="14.25" customHeight="1">
      <c r="H80" s="100"/>
    </row>
    <row r="81" ht="14.25" customHeight="1">
      <c r="H81" s="100"/>
    </row>
    <row r="82" ht="14.25" customHeight="1">
      <c r="H82" s="100"/>
    </row>
    <row r="83" ht="14.25" customHeight="1">
      <c r="H83" s="100"/>
    </row>
    <row r="84" ht="14.25" customHeight="1">
      <c r="H84" s="100"/>
    </row>
    <row r="85" ht="14.25" customHeight="1">
      <c r="H85" s="100"/>
    </row>
    <row r="86" ht="14.25" customHeight="1">
      <c r="H86" s="100"/>
    </row>
    <row r="87" ht="14.25" customHeight="1">
      <c r="H87" s="100"/>
    </row>
    <row r="88" ht="14.25" customHeight="1">
      <c r="H88" s="100"/>
    </row>
    <row r="89" ht="14.25" customHeight="1">
      <c r="H89" s="100"/>
    </row>
    <row r="90" ht="14.25" customHeight="1">
      <c r="H90" s="100"/>
    </row>
    <row r="91" ht="14.25" customHeight="1">
      <c r="H91" s="100"/>
    </row>
    <row r="92" ht="14.25" customHeight="1">
      <c r="H92" s="100"/>
    </row>
    <row r="93" ht="14.25" customHeight="1">
      <c r="H93" s="100"/>
    </row>
    <row r="94" ht="14.25" customHeight="1">
      <c r="H94" s="100"/>
    </row>
    <row r="95" ht="14.25" customHeight="1">
      <c r="H95" s="100"/>
    </row>
    <row r="96" ht="14.25" customHeight="1">
      <c r="H96" s="100"/>
    </row>
    <row r="97" ht="14.25" customHeight="1">
      <c r="H97" s="100"/>
    </row>
    <row r="98" ht="14.25" customHeight="1">
      <c r="H98" s="100"/>
    </row>
    <row r="99" ht="14.25" customHeight="1">
      <c r="H99" s="100"/>
    </row>
    <row r="100" ht="14.25" customHeight="1">
      <c r="H100" s="100"/>
    </row>
    <row r="101" ht="14.25" customHeight="1">
      <c r="H101" s="100"/>
    </row>
    <row r="102" ht="15.75" customHeight="1">
      <c r="H102" s="100"/>
    </row>
    <row r="103" ht="15.75" customHeight="1">
      <c r="H103" s="100"/>
    </row>
    <row r="104" ht="15.75" customHeight="1">
      <c r="H104" s="100"/>
    </row>
    <row r="105" ht="15.75" customHeight="1">
      <c r="H105" s="100"/>
    </row>
    <row r="106" ht="15.75" customHeight="1">
      <c r="H106" s="100"/>
    </row>
    <row r="107" ht="15.75" customHeight="1">
      <c r="H107" s="100"/>
    </row>
    <row r="108" ht="15.75" customHeight="1">
      <c r="H108" s="100"/>
    </row>
    <row r="109" ht="15.75" customHeight="1">
      <c r="H109" s="100"/>
    </row>
    <row r="110" ht="15.75" customHeight="1">
      <c r="H110" s="100"/>
    </row>
    <row r="111" ht="15.75" customHeight="1">
      <c r="H111" s="100"/>
    </row>
    <row r="112" ht="15.75" customHeight="1">
      <c r="H112" s="100"/>
    </row>
    <row r="113" ht="15.75" customHeight="1">
      <c r="H113" s="100"/>
    </row>
    <row r="114" ht="15.75" customHeight="1">
      <c r="H114" s="100"/>
    </row>
    <row r="115" ht="15.75" customHeight="1">
      <c r="H115" s="100"/>
    </row>
    <row r="116" ht="15.75" customHeight="1">
      <c r="H116" s="100"/>
    </row>
    <row r="117" ht="15.75" customHeight="1">
      <c r="H117" s="100"/>
    </row>
    <row r="118" ht="15.75" customHeight="1">
      <c r="H118" s="100"/>
    </row>
    <row r="119" ht="15.75" customHeight="1">
      <c r="H119" s="100"/>
    </row>
    <row r="120" ht="15.75" customHeight="1">
      <c r="H120" s="100"/>
    </row>
    <row r="121" ht="15.75" customHeight="1">
      <c r="H121" s="100"/>
    </row>
    <row r="122" ht="15.75" customHeight="1">
      <c r="H122" s="100"/>
    </row>
    <row r="123" ht="15.75" customHeight="1">
      <c r="H123" s="100"/>
    </row>
    <row r="124" ht="15.75" customHeight="1">
      <c r="H124" s="100"/>
    </row>
    <row r="125" ht="15.75" customHeight="1">
      <c r="H125" s="100"/>
    </row>
    <row r="126" ht="15.75" customHeight="1">
      <c r="H126" s="100"/>
    </row>
    <row r="127" ht="15.75" customHeight="1">
      <c r="H127" s="100"/>
    </row>
    <row r="128" ht="15.75" customHeight="1">
      <c r="H128" s="100"/>
    </row>
    <row r="129" ht="15.75" customHeight="1">
      <c r="H129" s="100"/>
    </row>
    <row r="130" ht="15.75" customHeight="1">
      <c r="H130" s="100"/>
    </row>
    <row r="131" ht="15.75" customHeight="1">
      <c r="H131" s="100"/>
    </row>
    <row r="132" ht="15.75" customHeight="1">
      <c r="H132" s="100"/>
    </row>
    <row r="133" ht="15.75" customHeight="1">
      <c r="H133" s="100"/>
    </row>
    <row r="134" ht="15.75" customHeight="1">
      <c r="H134" s="100"/>
    </row>
    <row r="135" ht="15.75" customHeight="1">
      <c r="H135" s="100"/>
    </row>
    <row r="136" ht="15.75" customHeight="1">
      <c r="H136" s="100"/>
    </row>
    <row r="137" ht="15.75" customHeight="1">
      <c r="H137" s="100"/>
    </row>
    <row r="138" ht="15.75" customHeight="1">
      <c r="H138" s="100"/>
    </row>
    <row r="139" ht="15.75" customHeight="1">
      <c r="H139" s="100"/>
    </row>
    <row r="140" ht="15.75" customHeight="1">
      <c r="H140" s="100"/>
    </row>
    <row r="141" ht="15.75" customHeight="1">
      <c r="H141" s="100"/>
    </row>
    <row r="142" ht="15.75" customHeight="1">
      <c r="H142" s="100"/>
    </row>
    <row r="143" ht="15.75" customHeight="1">
      <c r="H143" s="100"/>
    </row>
    <row r="144" ht="15.75" customHeight="1">
      <c r="H144" s="100"/>
    </row>
    <row r="145" ht="15.75" customHeight="1">
      <c r="H145" s="100"/>
    </row>
    <row r="146" ht="15.75" customHeight="1">
      <c r="H146" s="100"/>
    </row>
    <row r="147" ht="15.75" customHeight="1">
      <c r="H147" s="100"/>
    </row>
    <row r="148" ht="15.75" customHeight="1">
      <c r="H148" s="100"/>
    </row>
    <row r="149" ht="15.75" customHeight="1">
      <c r="H149" s="100"/>
    </row>
    <row r="150" ht="15.75" customHeight="1">
      <c r="H150" s="100"/>
    </row>
    <row r="151" ht="15.75" customHeight="1">
      <c r="H151" s="100"/>
    </row>
    <row r="152" ht="15.75" customHeight="1">
      <c r="H152" s="100"/>
    </row>
    <row r="153" ht="15.75" customHeight="1">
      <c r="H153" s="100"/>
    </row>
    <row r="154" ht="15.75" customHeight="1">
      <c r="H154" s="100"/>
    </row>
    <row r="155" ht="15.75" customHeight="1">
      <c r="H155" s="100"/>
    </row>
    <row r="156" ht="15.75" customHeight="1">
      <c r="H156" s="100"/>
    </row>
    <row r="157" ht="15.75" customHeight="1">
      <c r="H157" s="100"/>
    </row>
    <row r="158" ht="15.75" customHeight="1">
      <c r="H158" s="100"/>
    </row>
    <row r="159" ht="15.75" customHeight="1">
      <c r="H159" s="100"/>
    </row>
    <row r="160" ht="15.75" customHeight="1">
      <c r="H160" s="100"/>
    </row>
    <row r="161" ht="15.75" customHeight="1">
      <c r="H161" s="100"/>
    </row>
    <row r="162" ht="15.75" customHeight="1">
      <c r="H162" s="100"/>
    </row>
    <row r="163" ht="15.75" customHeight="1">
      <c r="H163" s="100"/>
    </row>
    <row r="164" ht="15.75" customHeight="1">
      <c r="H164" s="100"/>
    </row>
    <row r="165" ht="15.75" customHeight="1">
      <c r="H165" s="100"/>
    </row>
    <row r="166" ht="15.75" customHeight="1">
      <c r="H166" s="100"/>
    </row>
    <row r="167" ht="15.75" customHeight="1">
      <c r="H167" s="100"/>
    </row>
    <row r="168" ht="15.75" customHeight="1">
      <c r="H168" s="100"/>
    </row>
    <row r="169" ht="15.75" customHeight="1">
      <c r="H169" s="100"/>
    </row>
    <row r="170" ht="15.75" customHeight="1">
      <c r="H170" s="100"/>
    </row>
    <row r="171" ht="15.75" customHeight="1">
      <c r="H171" s="100"/>
    </row>
    <row r="172" ht="15.75" customHeight="1">
      <c r="H172" s="100"/>
    </row>
    <row r="173" ht="15.75" customHeight="1">
      <c r="H173" s="100"/>
    </row>
    <row r="174" ht="15.75" customHeight="1">
      <c r="H174" s="100"/>
    </row>
    <row r="175" ht="15.75" customHeight="1">
      <c r="H175" s="100"/>
    </row>
    <row r="176" ht="15.75" customHeight="1">
      <c r="H176" s="100"/>
    </row>
    <row r="177" ht="15.75" customHeight="1">
      <c r="H177" s="100"/>
    </row>
    <row r="178" ht="15.75" customHeight="1">
      <c r="H178" s="100"/>
    </row>
    <row r="179" ht="15.75" customHeight="1">
      <c r="H179" s="100"/>
    </row>
    <row r="180" ht="15.75" customHeight="1">
      <c r="H180" s="100"/>
    </row>
    <row r="181" ht="15.75" customHeight="1">
      <c r="H181" s="100"/>
    </row>
    <row r="182" ht="15.75" customHeight="1">
      <c r="H182" s="100"/>
    </row>
    <row r="183" ht="15.75" customHeight="1">
      <c r="H183" s="100"/>
    </row>
    <row r="184" ht="15.75" customHeight="1">
      <c r="H184" s="100"/>
    </row>
    <row r="185" ht="15.75" customHeight="1">
      <c r="H185" s="100"/>
    </row>
    <row r="186" ht="15.75" customHeight="1">
      <c r="H186" s="100"/>
    </row>
    <row r="187" ht="15.75" customHeight="1">
      <c r="H187" s="100"/>
    </row>
    <row r="188" ht="15.75" customHeight="1">
      <c r="H188" s="100"/>
    </row>
    <row r="189" ht="15.75" customHeight="1">
      <c r="H189" s="100"/>
    </row>
    <row r="190" ht="15.75" customHeight="1">
      <c r="H190" s="100"/>
    </row>
    <row r="191" ht="15.75" customHeight="1">
      <c r="H191" s="100"/>
    </row>
    <row r="192" ht="15.75" customHeight="1">
      <c r="H192" s="100"/>
    </row>
    <row r="193" ht="15.75" customHeight="1">
      <c r="H193" s="100"/>
    </row>
    <row r="194" ht="15.75" customHeight="1">
      <c r="H194" s="100"/>
    </row>
    <row r="195" ht="15.75" customHeight="1">
      <c r="H195" s="100"/>
    </row>
    <row r="196" ht="15.75" customHeight="1">
      <c r="H196" s="100"/>
    </row>
    <row r="197" ht="15.75" customHeight="1">
      <c r="H197" s="100"/>
    </row>
    <row r="198" ht="15.75" customHeight="1">
      <c r="H198" s="100"/>
    </row>
    <row r="199" ht="15.75" customHeight="1">
      <c r="H199" s="100"/>
    </row>
    <row r="200" ht="15.75" customHeight="1">
      <c r="H200" s="100"/>
    </row>
    <row r="201" ht="15.75" customHeight="1">
      <c r="H201" s="100"/>
    </row>
    <row r="202" ht="15.75" customHeight="1">
      <c r="H202" s="100"/>
    </row>
    <row r="203" ht="15.75" customHeight="1">
      <c r="H203" s="100"/>
    </row>
    <row r="204" ht="15.75" customHeight="1">
      <c r="H204" s="100"/>
    </row>
    <row r="205" ht="15.75" customHeight="1">
      <c r="H205" s="100"/>
    </row>
    <row r="206" ht="15.75" customHeight="1">
      <c r="H206" s="100"/>
    </row>
    <row r="207" ht="15.75" customHeight="1">
      <c r="H207" s="100"/>
    </row>
    <row r="208" ht="15.75" customHeight="1">
      <c r="H208" s="100"/>
    </row>
    <row r="209" ht="15.75" customHeight="1">
      <c r="H209" s="100"/>
    </row>
    <row r="210" ht="15.75" customHeight="1">
      <c r="H210" s="100"/>
    </row>
    <row r="211" ht="15.75" customHeight="1">
      <c r="H211" s="100"/>
    </row>
    <row r="212" ht="15.75" customHeight="1">
      <c r="H212" s="100"/>
    </row>
    <row r="213" ht="15.75" customHeight="1">
      <c r="H213" s="100"/>
    </row>
    <row r="214" ht="15.75" customHeight="1">
      <c r="H214" s="100"/>
    </row>
    <row r="215" ht="15.75" customHeight="1">
      <c r="H215" s="100"/>
    </row>
    <row r="216" ht="15.75" customHeight="1">
      <c r="H216" s="100"/>
    </row>
    <row r="217" ht="15.75" customHeight="1">
      <c r="H217" s="100"/>
    </row>
    <row r="218" ht="15.75" customHeight="1">
      <c r="H218" s="100"/>
    </row>
    <row r="219" ht="15.75" customHeight="1">
      <c r="H219" s="100"/>
    </row>
    <row r="220" ht="15.75" customHeight="1">
      <c r="H220" s="100"/>
    </row>
    <row r="221" ht="15.75" customHeight="1">
      <c r="H221" s="100"/>
    </row>
    <row r="222" ht="15.75" customHeight="1">
      <c r="H222" s="100"/>
    </row>
    <row r="223" ht="15.75" customHeight="1">
      <c r="H223" s="100"/>
    </row>
    <row r="224" ht="15.75" customHeight="1">
      <c r="H224" s="100"/>
    </row>
    <row r="225" ht="15.75" customHeight="1">
      <c r="H225" s="100"/>
    </row>
    <row r="226" ht="15.75" customHeight="1">
      <c r="H226" s="100"/>
    </row>
    <row r="227" ht="15.75" customHeight="1">
      <c r="H227" s="100"/>
    </row>
    <row r="228" ht="15.75" customHeight="1">
      <c r="H228" s="100"/>
    </row>
    <row r="229" ht="15.75" customHeight="1">
      <c r="H229" s="100"/>
    </row>
    <row r="230" ht="15.75" customHeight="1">
      <c r="H230" s="100"/>
    </row>
    <row r="231" ht="15.75" customHeight="1">
      <c r="H231" s="100"/>
    </row>
    <row r="232" ht="15.75" customHeight="1">
      <c r="H232" s="100"/>
    </row>
    <row r="233" ht="15.75" customHeight="1">
      <c r="H233" s="100"/>
    </row>
    <row r="234" ht="15.75" customHeight="1">
      <c r="H234" s="100"/>
    </row>
    <row r="235" ht="15.75" customHeight="1">
      <c r="H235" s="100"/>
    </row>
    <row r="236" ht="15.75" customHeight="1">
      <c r="H236" s="100"/>
    </row>
    <row r="237" ht="15.75" customHeight="1">
      <c r="H237" s="100"/>
    </row>
    <row r="238" ht="15.75" customHeight="1">
      <c r="H238" s="100"/>
    </row>
    <row r="239" ht="15.75" customHeight="1">
      <c r="H239" s="100"/>
    </row>
    <row r="240" ht="15.75" customHeight="1">
      <c r="H240" s="100"/>
    </row>
    <row r="241" ht="15.75" customHeight="1">
      <c r="H241" s="100"/>
    </row>
    <row r="242" ht="15.75" customHeight="1">
      <c r="H242" s="100"/>
    </row>
    <row r="243" ht="15.75" customHeight="1">
      <c r="H243" s="100"/>
    </row>
    <row r="244" ht="15.75" customHeight="1">
      <c r="H244" s="100"/>
    </row>
    <row r="245" ht="15.75" customHeight="1">
      <c r="H245" s="100"/>
    </row>
    <row r="246" ht="15.75" customHeight="1">
      <c r="H246" s="100"/>
    </row>
    <row r="247" ht="15.75" customHeight="1">
      <c r="H247" s="100"/>
    </row>
    <row r="248" ht="15.75" customHeight="1">
      <c r="H248" s="100"/>
    </row>
    <row r="249" ht="15.75" customHeight="1">
      <c r="H249" s="100"/>
    </row>
    <row r="250" ht="15.75" customHeight="1">
      <c r="H250" s="100"/>
    </row>
    <row r="251" ht="15.75" customHeight="1">
      <c r="H251" s="100"/>
    </row>
    <row r="252" ht="15.75" customHeight="1">
      <c r="H252" s="100"/>
    </row>
    <row r="253" ht="15.75" customHeight="1">
      <c r="H253" s="100"/>
    </row>
    <row r="254" ht="15.75" customHeight="1">
      <c r="H254" s="100"/>
    </row>
    <row r="255" ht="15.75" customHeight="1">
      <c r="H255" s="100"/>
    </row>
    <row r="256" ht="15.75" customHeight="1">
      <c r="H256" s="100"/>
    </row>
    <row r="257" ht="15.75" customHeight="1">
      <c r="H257" s="100"/>
    </row>
    <row r="258" ht="15.75" customHeight="1">
      <c r="H258" s="100"/>
    </row>
    <row r="259" ht="15.75" customHeight="1">
      <c r="H259" s="100"/>
    </row>
    <row r="260" ht="15.75" customHeight="1">
      <c r="H260" s="100"/>
    </row>
    <row r="261" ht="15.75" customHeight="1">
      <c r="H261" s="100"/>
    </row>
    <row r="262" ht="15.75" customHeight="1">
      <c r="H262" s="100"/>
    </row>
    <row r="263" ht="15.75" customHeight="1">
      <c r="H263" s="100"/>
    </row>
    <row r="264" ht="15.75" customHeight="1">
      <c r="H264" s="100"/>
    </row>
    <row r="265" ht="15.75" customHeight="1">
      <c r="H265" s="100"/>
    </row>
    <row r="266" ht="15.75" customHeight="1">
      <c r="H266" s="100"/>
    </row>
    <row r="267" ht="15.75" customHeight="1">
      <c r="H267" s="100"/>
    </row>
    <row r="268" ht="15.75" customHeight="1">
      <c r="H268" s="100"/>
    </row>
    <row r="269" ht="15.75" customHeight="1">
      <c r="H269" s="100"/>
    </row>
    <row r="270" ht="15.75" customHeight="1">
      <c r="H270" s="100"/>
    </row>
    <row r="271" ht="15.75" customHeight="1">
      <c r="H271" s="100"/>
    </row>
    <row r="272" ht="15.75" customHeight="1">
      <c r="H272" s="100"/>
    </row>
    <row r="273" ht="15.75" customHeight="1">
      <c r="H273" s="100"/>
    </row>
    <row r="274" ht="15.75" customHeight="1">
      <c r="H274" s="100"/>
    </row>
    <row r="275" ht="15.75" customHeight="1">
      <c r="H275" s="100"/>
    </row>
    <row r="276" ht="15.75" customHeight="1">
      <c r="H276" s="100"/>
    </row>
    <row r="277" ht="15.75" customHeight="1">
      <c r="H277" s="100"/>
    </row>
    <row r="278" ht="15.75" customHeight="1">
      <c r="H278" s="100"/>
    </row>
    <row r="279" ht="15.75" customHeight="1">
      <c r="H279" s="100"/>
    </row>
    <row r="280" ht="15.75" customHeight="1">
      <c r="H280" s="100"/>
    </row>
    <row r="281" ht="15.75" customHeight="1">
      <c r="H281" s="100"/>
    </row>
    <row r="282" ht="15.75" customHeight="1">
      <c r="H282" s="100"/>
    </row>
    <row r="283" ht="15.75" customHeight="1">
      <c r="H283" s="100"/>
    </row>
    <row r="284" ht="15.75" customHeight="1">
      <c r="H284" s="100"/>
    </row>
    <row r="285" ht="15.75" customHeight="1">
      <c r="H285" s="100"/>
    </row>
    <row r="286" ht="15.75" customHeight="1">
      <c r="H286" s="100"/>
    </row>
    <row r="287" ht="15.75" customHeight="1">
      <c r="H287" s="100"/>
    </row>
    <row r="288" ht="15.75" customHeight="1">
      <c r="H288" s="100"/>
    </row>
    <row r="289" ht="15.75" customHeight="1">
      <c r="H289" s="100"/>
    </row>
    <row r="290" ht="15.75" customHeight="1">
      <c r="H290" s="100"/>
    </row>
    <row r="291" ht="15.75" customHeight="1">
      <c r="H291" s="100"/>
    </row>
    <row r="292" ht="15.75" customHeight="1">
      <c r="H292" s="100"/>
    </row>
    <row r="293" ht="15.75" customHeight="1">
      <c r="H293" s="100"/>
    </row>
    <row r="294" ht="15.75" customHeight="1">
      <c r="H294" s="100"/>
    </row>
    <row r="295" ht="15.75" customHeight="1">
      <c r="H295" s="100"/>
    </row>
    <row r="296" ht="15.75" customHeight="1">
      <c r="H296" s="100"/>
    </row>
    <row r="297" ht="15.75" customHeight="1">
      <c r="H297" s="100"/>
    </row>
    <row r="298" ht="15.75" customHeight="1">
      <c r="H298" s="100"/>
    </row>
    <row r="299" ht="15.75" customHeight="1">
      <c r="H299" s="100"/>
    </row>
    <row r="300" ht="15.75" customHeight="1">
      <c r="H300" s="100"/>
    </row>
    <row r="301" ht="15.75" customHeight="1">
      <c r="H301" s="100"/>
    </row>
    <row r="302" ht="15.75" customHeight="1">
      <c r="H302" s="100"/>
    </row>
    <row r="303" ht="15.75" customHeight="1">
      <c r="H303" s="100"/>
    </row>
    <row r="304" ht="15.75" customHeight="1">
      <c r="H304" s="100"/>
    </row>
    <row r="305" ht="15.75" customHeight="1">
      <c r="H305" s="100"/>
    </row>
    <row r="306" ht="15.75" customHeight="1">
      <c r="H306" s="100"/>
    </row>
    <row r="307" ht="15.75" customHeight="1">
      <c r="H307" s="100"/>
    </row>
    <row r="308" ht="15.75" customHeight="1">
      <c r="H308" s="100"/>
    </row>
    <row r="309" ht="15.75" customHeight="1">
      <c r="H309" s="100"/>
    </row>
    <row r="310" ht="15.75" customHeight="1">
      <c r="H310" s="100"/>
    </row>
    <row r="311" ht="15.75" customHeight="1">
      <c r="H311" s="100"/>
    </row>
    <row r="312" ht="15.75" customHeight="1">
      <c r="H312" s="100"/>
    </row>
    <row r="313" ht="15.75" customHeight="1">
      <c r="H313" s="100"/>
    </row>
    <row r="314" ht="15.75" customHeight="1">
      <c r="H314" s="100"/>
    </row>
    <row r="315" ht="15.75" customHeight="1">
      <c r="H315" s="100"/>
    </row>
    <row r="316" ht="15.75" customHeight="1">
      <c r="H316" s="100"/>
    </row>
    <row r="317" ht="15.75" customHeight="1">
      <c r="H317" s="100"/>
    </row>
    <row r="318" ht="15.75" customHeight="1">
      <c r="H318" s="100"/>
    </row>
    <row r="319" ht="15.75" customHeight="1">
      <c r="H319" s="100"/>
    </row>
    <row r="320" ht="15.75" customHeight="1">
      <c r="H320" s="100"/>
    </row>
    <row r="321" ht="15.75" customHeight="1">
      <c r="H321" s="100"/>
    </row>
    <row r="322" ht="15.75" customHeight="1">
      <c r="H322" s="100"/>
    </row>
    <row r="323" ht="15.75" customHeight="1">
      <c r="H323" s="100"/>
    </row>
    <row r="324" ht="15.75" customHeight="1">
      <c r="H324" s="100"/>
    </row>
    <row r="325" ht="15.75" customHeight="1">
      <c r="H325" s="100"/>
    </row>
    <row r="326" ht="15.75" customHeight="1">
      <c r="H326" s="100"/>
    </row>
    <row r="327" ht="15.75" customHeight="1">
      <c r="H327" s="100"/>
    </row>
    <row r="328" ht="15.75" customHeight="1">
      <c r="H328" s="100"/>
    </row>
    <row r="329" ht="15.75" customHeight="1">
      <c r="H329" s="100"/>
    </row>
    <row r="330" ht="15.75" customHeight="1">
      <c r="H330" s="100"/>
    </row>
    <row r="331" ht="15.75" customHeight="1">
      <c r="H331" s="100"/>
    </row>
    <row r="332" ht="15.75" customHeight="1">
      <c r="H332" s="100"/>
    </row>
    <row r="333" ht="15.75" customHeight="1">
      <c r="H333" s="100"/>
    </row>
    <row r="334" ht="15.75" customHeight="1">
      <c r="H334" s="100"/>
    </row>
    <row r="335" ht="15.75" customHeight="1">
      <c r="H335" s="100"/>
    </row>
    <row r="336" ht="15.75" customHeight="1">
      <c r="H336" s="100"/>
    </row>
    <row r="337" ht="15.75" customHeight="1">
      <c r="H337" s="100"/>
    </row>
    <row r="338" ht="15.75" customHeight="1">
      <c r="H338" s="100"/>
    </row>
    <row r="339" ht="15.75" customHeight="1">
      <c r="H339" s="100"/>
    </row>
    <row r="340" ht="15.75" customHeight="1">
      <c r="H340" s="100"/>
    </row>
    <row r="341" ht="15.75" customHeight="1">
      <c r="H341" s="100"/>
    </row>
    <row r="342" ht="15.75" customHeight="1">
      <c r="H342" s="100"/>
    </row>
    <row r="343" ht="15.75" customHeight="1">
      <c r="H343" s="100"/>
    </row>
    <row r="344" ht="15.75" customHeight="1">
      <c r="H344" s="100"/>
    </row>
    <row r="345" ht="15.75" customHeight="1">
      <c r="H345" s="100"/>
    </row>
    <row r="346" ht="15.75" customHeight="1">
      <c r="H346" s="100"/>
    </row>
    <row r="347" ht="15.75" customHeight="1">
      <c r="H347" s="100"/>
    </row>
    <row r="348" ht="15.75" customHeight="1">
      <c r="H348" s="100"/>
    </row>
    <row r="349" ht="15.75" customHeight="1">
      <c r="H349" s="100"/>
    </row>
    <row r="350" ht="15.75" customHeight="1">
      <c r="H350" s="100"/>
    </row>
    <row r="351" ht="15.75" customHeight="1">
      <c r="H351" s="100"/>
    </row>
    <row r="352" ht="15.75" customHeight="1">
      <c r="H352" s="100"/>
    </row>
    <row r="353" ht="15.75" customHeight="1">
      <c r="H353" s="100"/>
    </row>
    <row r="354" ht="15.75" customHeight="1">
      <c r="H354" s="100"/>
    </row>
    <row r="355" ht="15.75" customHeight="1">
      <c r="H355" s="100"/>
    </row>
    <row r="356" ht="15.75" customHeight="1">
      <c r="H356" s="100"/>
    </row>
    <row r="357" ht="15.75" customHeight="1">
      <c r="H357" s="100"/>
    </row>
    <row r="358" ht="15.75" customHeight="1">
      <c r="H358" s="100"/>
    </row>
    <row r="359" ht="15.75" customHeight="1">
      <c r="H359" s="100"/>
    </row>
    <row r="360" ht="15.75" customHeight="1">
      <c r="H360" s="100"/>
    </row>
    <row r="361" ht="15.75" customHeight="1">
      <c r="H361" s="100"/>
    </row>
    <row r="362" ht="15.75" customHeight="1">
      <c r="H362" s="100"/>
    </row>
    <row r="363" ht="15.75" customHeight="1">
      <c r="H363" s="100"/>
    </row>
    <row r="364" ht="15.75" customHeight="1">
      <c r="H364" s="100"/>
    </row>
    <row r="365" ht="15.75" customHeight="1">
      <c r="H365" s="100"/>
    </row>
    <row r="366" ht="15.75" customHeight="1">
      <c r="H366" s="100"/>
    </row>
    <row r="367" ht="15.75" customHeight="1">
      <c r="H367" s="100"/>
    </row>
    <row r="368" ht="15.75" customHeight="1">
      <c r="H368" s="100"/>
    </row>
    <row r="369" ht="15.75" customHeight="1">
      <c r="H369" s="100"/>
    </row>
    <row r="370" ht="15.75" customHeight="1">
      <c r="H370" s="100"/>
    </row>
    <row r="371" ht="15.75" customHeight="1">
      <c r="H371" s="100"/>
    </row>
    <row r="372" ht="15.75" customHeight="1">
      <c r="H372" s="100"/>
    </row>
    <row r="373" ht="15.75" customHeight="1">
      <c r="H373" s="100"/>
    </row>
    <row r="374" ht="15.75" customHeight="1">
      <c r="H374" s="100"/>
    </row>
    <row r="375" ht="15.75" customHeight="1">
      <c r="H375" s="100"/>
    </row>
    <row r="376" ht="15.75" customHeight="1">
      <c r="H376" s="100"/>
    </row>
    <row r="377" ht="15.75" customHeight="1">
      <c r="H377" s="100"/>
    </row>
    <row r="378" ht="15.75" customHeight="1">
      <c r="H378" s="100"/>
    </row>
    <row r="379" ht="15.75" customHeight="1">
      <c r="H379" s="100"/>
    </row>
    <row r="380" ht="15.75" customHeight="1">
      <c r="H380" s="100"/>
    </row>
    <row r="381" ht="15.75" customHeight="1">
      <c r="H381" s="100"/>
    </row>
    <row r="382" ht="15.75" customHeight="1">
      <c r="H382" s="100"/>
    </row>
    <row r="383" ht="15.75" customHeight="1">
      <c r="H383" s="100"/>
    </row>
    <row r="384" ht="15.75" customHeight="1">
      <c r="H384" s="100"/>
    </row>
    <row r="385" ht="15.75" customHeight="1">
      <c r="H385" s="100"/>
    </row>
    <row r="386" ht="15.75" customHeight="1">
      <c r="H386" s="100"/>
    </row>
    <row r="387" ht="15.75" customHeight="1">
      <c r="H387" s="100"/>
    </row>
    <row r="388" ht="15.75" customHeight="1">
      <c r="H388" s="100"/>
    </row>
    <row r="389" ht="15.75" customHeight="1">
      <c r="H389" s="100"/>
    </row>
    <row r="390" ht="15.75" customHeight="1">
      <c r="H390" s="100"/>
    </row>
    <row r="391" ht="15.75" customHeight="1">
      <c r="H391" s="100"/>
    </row>
    <row r="392" ht="15.75" customHeight="1">
      <c r="H392" s="100"/>
    </row>
    <row r="393" ht="15.75" customHeight="1">
      <c r="H393" s="100"/>
    </row>
    <row r="394" ht="15.75" customHeight="1">
      <c r="H394" s="100"/>
    </row>
    <row r="395" ht="15.75" customHeight="1">
      <c r="H395" s="100"/>
    </row>
    <row r="396" ht="15.75" customHeight="1">
      <c r="H396" s="100"/>
    </row>
    <row r="397" ht="15.75" customHeight="1">
      <c r="H397" s="100"/>
    </row>
    <row r="398" ht="15.75" customHeight="1">
      <c r="H398" s="100"/>
    </row>
    <row r="399" ht="15.75" customHeight="1">
      <c r="H399" s="100"/>
    </row>
    <row r="400" ht="15.75" customHeight="1">
      <c r="H400" s="100"/>
    </row>
    <row r="401" ht="15.75" customHeight="1">
      <c r="H401" s="100"/>
    </row>
    <row r="402" ht="15.75" customHeight="1">
      <c r="H402" s="100"/>
    </row>
    <row r="403" ht="15.75" customHeight="1">
      <c r="H403" s="100"/>
    </row>
    <row r="404" ht="15.75" customHeight="1">
      <c r="H404" s="100"/>
    </row>
    <row r="405" ht="15.75" customHeight="1">
      <c r="H405" s="100"/>
    </row>
    <row r="406" ht="15.75" customHeight="1">
      <c r="H406" s="100"/>
    </row>
    <row r="407" ht="15.75" customHeight="1">
      <c r="H407" s="100"/>
    </row>
    <row r="408" ht="15.75" customHeight="1">
      <c r="H408" s="100"/>
    </row>
    <row r="409" ht="15.75" customHeight="1">
      <c r="H409" s="100"/>
    </row>
    <row r="410" ht="15.75" customHeight="1">
      <c r="H410" s="100"/>
    </row>
    <row r="411" ht="15.75" customHeight="1">
      <c r="H411" s="100"/>
    </row>
    <row r="412" ht="15.75" customHeight="1">
      <c r="H412" s="100"/>
    </row>
    <row r="413" ht="15.75" customHeight="1">
      <c r="H413" s="100"/>
    </row>
    <row r="414" ht="15.75" customHeight="1">
      <c r="H414" s="100"/>
    </row>
    <row r="415" ht="15.75" customHeight="1">
      <c r="H415" s="100"/>
    </row>
    <row r="416" ht="15.75" customHeight="1">
      <c r="H416" s="100"/>
    </row>
    <row r="417" ht="15.75" customHeight="1">
      <c r="H417" s="100"/>
    </row>
    <row r="418" ht="15.75" customHeight="1">
      <c r="H418" s="100"/>
    </row>
    <row r="419" ht="15.75" customHeight="1">
      <c r="H419" s="100"/>
    </row>
    <row r="420" ht="15.75" customHeight="1">
      <c r="H420" s="100"/>
    </row>
    <row r="421" ht="15.75" customHeight="1">
      <c r="H421" s="100"/>
    </row>
    <row r="422" ht="15.75" customHeight="1">
      <c r="H422" s="100"/>
    </row>
    <row r="423" ht="15.75" customHeight="1">
      <c r="H423" s="100"/>
    </row>
    <row r="424" ht="15.75" customHeight="1">
      <c r="H424" s="100"/>
    </row>
    <row r="425" ht="15.75" customHeight="1">
      <c r="H425" s="100"/>
    </row>
    <row r="426" ht="15.75" customHeight="1">
      <c r="H426" s="100"/>
    </row>
    <row r="427" ht="15.75" customHeight="1">
      <c r="H427" s="100"/>
    </row>
    <row r="428" ht="15.75" customHeight="1">
      <c r="H428" s="100"/>
    </row>
    <row r="429" ht="15.75" customHeight="1">
      <c r="H429" s="100"/>
    </row>
    <row r="430" ht="15.75" customHeight="1">
      <c r="H430" s="100"/>
    </row>
    <row r="431" ht="15.75" customHeight="1">
      <c r="H431" s="100"/>
    </row>
    <row r="432" ht="15.75" customHeight="1">
      <c r="H432" s="100"/>
    </row>
    <row r="433" ht="15.75" customHeight="1">
      <c r="H433" s="100"/>
    </row>
    <row r="434" ht="15.75" customHeight="1">
      <c r="H434" s="100"/>
    </row>
    <row r="435" ht="15.75" customHeight="1">
      <c r="H435" s="100"/>
    </row>
    <row r="436" ht="15.75" customHeight="1">
      <c r="H436" s="100"/>
    </row>
    <row r="437" ht="15.75" customHeight="1">
      <c r="H437" s="100"/>
    </row>
    <row r="438" ht="15.75" customHeight="1">
      <c r="H438" s="100"/>
    </row>
    <row r="439" ht="15.75" customHeight="1">
      <c r="H439" s="100"/>
    </row>
    <row r="440" ht="15.75" customHeight="1">
      <c r="H440" s="100"/>
    </row>
    <row r="441" ht="15.75" customHeight="1">
      <c r="H441" s="100"/>
    </row>
    <row r="442" ht="15.75" customHeight="1">
      <c r="H442" s="100"/>
    </row>
    <row r="443" ht="15.75" customHeight="1">
      <c r="H443" s="100"/>
    </row>
    <row r="444" ht="15.75" customHeight="1">
      <c r="H444" s="100"/>
    </row>
    <row r="445" ht="15.75" customHeight="1">
      <c r="H445" s="100"/>
    </row>
    <row r="446" ht="15.75" customHeight="1">
      <c r="H446" s="100"/>
    </row>
    <row r="447" ht="15.75" customHeight="1">
      <c r="H447" s="100"/>
    </row>
    <row r="448" ht="15.75" customHeight="1">
      <c r="H448" s="100"/>
    </row>
    <row r="449" ht="15.75" customHeight="1">
      <c r="H449" s="100"/>
    </row>
    <row r="450" ht="15.75" customHeight="1">
      <c r="H450" s="100"/>
    </row>
    <row r="451" ht="15.75" customHeight="1">
      <c r="H451" s="100"/>
    </row>
    <row r="452" ht="15.75" customHeight="1">
      <c r="H452" s="100"/>
    </row>
    <row r="453" ht="15.75" customHeight="1">
      <c r="H453" s="100"/>
    </row>
    <row r="454" ht="15.75" customHeight="1">
      <c r="H454" s="100"/>
    </row>
    <row r="455" ht="15.75" customHeight="1">
      <c r="H455" s="100"/>
    </row>
    <row r="456" ht="15.75" customHeight="1">
      <c r="H456" s="100"/>
    </row>
    <row r="457" ht="15.75" customHeight="1">
      <c r="H457" s="100"/>
    </row>
    <row r="458" ht="15.75" customHeight="1">
      <c r="H458" s="100"/>
    </row>
    <row r="459" ht="15.75" customHeight="1">
      <c r="H459" s="100"/>
    </row>
    <row r="460" ht="15.75" customHeight="1">
      <c r="H460" s="100"/>
    </row>
    <row r="461" ht="15.75" customHeight="1">
      <c r="H461" s="100"/>
    </row>
    <row r="462" ht="15.75" customHeight="1">
      <c r="H462" s="100"/>
    </row>
    <row r="463" ht="15.75" customHeight="1">
      <c r="H463" s="100"/>
    </row>
    <row r="464" ht="15.75" customHeight="1">
      <c r="H464" s="100"/>
    </row>
    <row r="465" ht="15.75" customHeight="1">
      <c r="H465" s="100"/>
    </row>
    <row r="466" ht="15.75" customHeight="1">
      <c r="H466" s="100"/>
    </row>
    <row r="467" ht="15.75" customHeight="1">
      <c r="H467" s="100"/>
    </row>
    <row r="468" ht="15.75" customHeight="1">
      <c r="H468" s="100"/>
    </row>
    <row r="469" ht="15.75" customHeight="1">
      <c r="H469" s="100"/>
    </row>
    <row r="470" ht="15.75" customHeight="1">
      <c r="H470" s="100"/>
    </row>
    <row r="471" ht="15.75" customHeight="1">
      <c r="H471" s="100"/>
    </row>
    <row r="472" ht="15.75" customHeight="1">
      <c r="H472" s="100"/>
    </row>
    <row r="473" ht="15.75" customHeight="1">
      <c r="H473" s="100"/>
    </row>
    <row r="474" ht="15.75" customHeight="1">
      <c r="H474" s="100"/>
    </row>
    <row r="475" ht="15.75" customHeight="1">
      <c r="H475" s="100"/>
    </row>
    <row r="476" ht="15.75" customHeight="1">
      <c r="H476" s="100"/>
    </row>
    <row r="477" ht="15.75" customHeight="1">
      <c r="H477" s="100"/>
    </row>
    <row r="478" ht="15.75" customHeight="1">
      <c r="H478" s="100"/>
    </row>
    <row r="479" ht="15.75" customHeight="1">
      <c r="H479" s="100"/>
    </row>
    <row r="480" ht="15.75" customHeight="1">
      <c r="H480" s="100"/>
    </row>
    <row r="481" ht="15.75" customHeight="1">
      <c r="H481" s="100"/>
    </row>
    <row r="482" ht="15.75" customHeight="1">
      <c r="H482" s="100"/>
    </row>
    <row r="483" ht="15.75" customHeight="1">
      <c r="H483" s="100"/>
    </row>
    <row r="484" ht="15.75" customHeight="1">
      <c r="H484" s="100"/>
    </row>
    <row r="485" ht="15.75" customHeight="1">
      <c r="H485" s="100"/>
    </row>
    <row r="486" ht="15.75" customHeight="1">
      <c r="H486" s="100"/>
    </row>
    <row r="487" ht="15.75" customHeight="1">
      <c r="H487" s="100"/>
    </row>
    <row r="488" ht="15.75" customHeight="1">
      <c r="H488" s="100"/>
    </row>
    <row r="489" ht="15.75" customHeight="1">
      <c r="H489" s="100"/>
    </row>
    <row r="490" ht="15.75" customHeight="1">
      <c r="H490" s="100"/>
    </row>
    <row r="491" ht="15.75" customHeight="1">
      <c r="H491" s="100"/>
    </row>
    <row r="492" ht="15.75" customHeight="1">
      <c r="H492" s="100"/>
    </row>
    <row r="493" ht="15.75" customHeight="1">
      <c r="H493" s="100"/>
    </row>
    <row r="494" ht="15.75" customHeight="1">
      <c r="H494" s="100"/>
    </row>
    <row r="495" ht="15.75" customHeight="1">
      <c r="H495" s="100"/>
    </row>
    <row r="496" ht="15.75" customHeight="1">
      <c r="H496" s="100"/>
    </row>
    <row r="497" ht="15.75" customHeight="1">
      <c r="H497" s="100"/>
    </row>
    <row r="498" ht="15.75" customHeight="1">
      <c r="H498" s="100"/>
    </row>
    <row r="499" ht="15.75" customHeight="1">
      <c r="H499" s="100"/>
    </row>
    <row r="500" ht="15.75" customHeight="1">
      <c r="H500" s="100"/>
    </row>
    <row r="501" ht="15.75" customHeight="1">
      <c r="H501" s="100"/>
    </row>
    <row r="502" ht="15.75" customHeight="1">
      <c r="H502" s="100"/>
    </row>
    <row r="503" ht="15.75" customHeight="1">
      <c r="H503" s="100"/>
    </row>
    <row r="504" ht="15.75" customHeight="1">
      <c r="H504" s="100"/>
    </row>
    <row r="505" ht="15.75" customHeight="1">
      <c r="H505" s="100"/>
    </row>
    <row r="506" ht="15.75" customHeight="1">
      <c r="H506" s="100"/>
    </row>
    <row r="507" ht="15.75" customHeight="1">
      <c r="H507" s="100"/>
    </row>
    <row r="508" ht="15.75" customHeight="1">
      <c r="H508" s="100"/>
    </row>
    <row r="509" ht="15.75" customHeight="1">
      <c r="H509" s="100"/>
    </row>
    <row r="510" ht="15.75" customHeight="1">
      <c r="H510" s="100"/>
    </row>
    <row r="511" ht="15.75" customHeight="1">
      <c r="H511" s="100"/>
    </row>
    <row r="512" ht="15.75" customHeight="1">
      <c r="H512" s="100"/>
    </row>
    <row r="513" ht="15.75" customHeight="1">
      <c r="H513" s="100"/>
    </row>
    <row r="514" ht="15.75" customHeight="1">
      <c r="H514" s="100"/>
    </row>
    <row r="515" ht="15.75" customHeight="1">
      <c r="H515" s="100"/>
    </row>
    <row r="516" ht="15.75" customHeight="1">
      <c r="H516" s="100"/>
    </row>
    <row r="517" ht="15.75" customHeight="1">
      <c r="H517" s="100"/>
    </row>
    <row r="518" ht="15.75" customHeight="1">
      <c r="H518" s="100"/>
    </row>
    <row r="519" ht="15.75" customHeight="1">
      <c r="H519" s="100"/>
    </row>
    <row r="520" ht="15.75" customHeight="1">
      <c r="H520" s="100"/>
    </row>
    <row r="521" ht="15.75" customHeight="1">
      <c r="H521" s="100"/>
    </row>
    <row r="522" ht="15.75" customHeight="1">
      <c r="H522" s="100"/>
    </row>
    <row r="523" ht="15.75" customHeight="1">
      <c r="H523" s="100"/>
    </row>
    <row r="524" ht="15.75" customHeight="1">
      <c r="H524" s="100"/>
    </row>
    <row r="525" ht="15.75" customHeight="1">
      <c r="H525" s="100"/>
    </row>
    <row r="526" ht="15.75" customHeight="1">
      <c r="H526" s="100"/>
    </row>
    <row r="527" ht="15.75" customHeight="1">
      <c r="H527" s="100"/>
    </row>
    <row r="528" ht="15.75" customHeight="1">
      <c r="H528" s="100"/>
    </row>
    <row r="529" ht="15.75" customHeight="1">
      <c r="H529" s="100"/>
    </row>
    <row r="530" ht="15.75" customHeight="1">
      <c r="H530" s="100"/>
    </row>
    <row r="531" ht="15.75" customHeight="1">
      <c r="H531" s="100"/>
    </row>
    <row r="532" ht="15.75" customHeight="1">
      <c r="H532" s="100"/>
    </row>
    <row r="533" ht="15.75" customHeight="1">
      <c r="H533" s="100"/>
    </row>
    <row r="534" ht="15.75" customHeight="1">
      <c r="H534" s="100"/>
    </row>
    <row r="535" ht="15.75" customHeight="1">
      <c r="H535" s="100"/>
    </row>
    <row r="536" ht="15.75" customHeight="1">
      <c r="H536" s="100"/>
    </row>
    <row r="537" ht="15.75" customHeight="1">
      <c r="H537" s="100"/>
    </row>
    <row r="538" ht="15.75" customHeight="1">
      <c r="H538" s="100"/>
    </row>
    <row r="539" ht="15.75" customHeight="1">
      <c r="H539" s="100"/>
    </row>
    <row r="540" ht="15.75" customHeight="1">
      <c r="H540" s="100"/>
    </row>
    <row r="541" ht="15.75" customHeight="1">
      <c r="H541" s="100"/>
    </row>
    <row r="542" ht="15.75" customHeight="1">
      <c r="H542" s="100"/>
    </row>
    <row r="543" ht="15.75" customHeight="1">
      <c r="H543" s="100"/>
    </row>
    <row r="544" ht="15.75" customHeight="1">
      <c r="H544" s="100"/>
    </row>
    <row r="545" ht="15.75" customHeight="1">
      <c r="H545" s="100"/>
    </row>
    <row r="546" ht="15.75" customHeight="1">
      <c r="H546" s="100"/>
    </row>
    <row r="547" ht="15.75" customHeight="1">
      <c r="H547" s="100"/>
    </row>
    <row r="548" ht="15.75" customHeight="1">
      <c r="H548" s="100"/>
    </row>
    <row r="549" ht="15.75" customHeight="1">
      <c r="H549" s="100"/>
    </row>
    <row r="550" ht="15.75" customHeight="1">
      <c r="H550" s="100"/>
    </row>
    <row r="551" ht="15.75" customHeight="1">
      <c r="H551" s="100"/>
    </row>
    <row r="552" ht="15.75" customHeight="1">
      <c r="H552" s="100"/>
    </row>
    <row r="553" ht="15.75" customHeight="1">
      <c r="H553" s="100"/>
    </row>
    <row r="554" ht="15.75" customHeight="1">
      <c r="H554" s="100"/>
    </row>
    <row r="555" ht="15.75" customHeight="1">
      <c r="H555" s="100"/>
    </row>
    <row r="556" ht="15.75" customHeight="1">
      <c r="H556" s="100"/>
    </row>
    <row r="557" ht="15.75" customHeight="1">
      <c r="H557" s="100"/>
    </row>
    <row r="558" ht="15.75" customHeight="1">
      <c r="H558" s="100"/>
    </row>
    <row r="559" ht="15.75" customHeight="1">
      <c r="H559" s="100"/>
    </row>
    <row r="560" ht="15.75" customHeight="1">
      <c r="H560" s="100"/>
    </row>
    <row r="561" ht="15.75" customHeight="1">
      <c r="H561" s="100"/>
    </row>
    <row r="562" ht="15.75" customHeight="1">
      <c r="H562" s="100"/>
    </row>
    <row r="563" ht="15.75" customHeight="1">
      <c r="H563" s="100"/>
    </row>
    <row r="564" ht="15.75" customHeight="1">
      <c r="H564" s="100"/>
    </row>
    <row r="565" ht="15.75" customHeight="1">
      <c r="H565" s="100"/>
    </row>
    <row r="566" ht="15.75" customHeight="1">
      <c r="H566" s="100"/>
    </row>
    <row r="567" ht="15.75" customHeight="1">
      <c r="H567" s="100"/>
    </row>
    <row r="568" ht="15.75" customHeight="1">
      <c r="H568" s="100"/>
    </row>
    <row r="569" ht="15.75" customHeight="1">
      <c r="H569" s="100"/>
    </row>
    <row r="570" ht="15.75" customHeight="1">
      <c r="H570" s="100"/>
    </row>
    <row r="571" ht="15.75" customHeight="1">
      <c r="H571" s="100"/>
    </row>
    <row r="572" ht="15.75" customHeight="1">
      <c r="H572" s="100"/>
    </row>
    <row r="573" ht="15.75" customHeight="1">
      <c r="H573" s="100"/>
    </row>
    <row r="574" ht="15.75" customHeight="1">
      <c r="H574" s="100"/>
    </row>
    <row r="575" ht="15.75" customHeight="1">
      <c r="H575" s="100"/>
    </row>
    <row r="576" ht="15.75" customHeight="1">
      <c r="H576" s="100"/>
    </row>
    <row r="577" ht="15.75" customHeight="1">
      <c r="H577" s="100"/>
    </row>
    <row r="578" ht="15.75" customHeight="1">
      <c r="H578" s="100"/>
    </row>
    <row r="579" ht="15.75" customHeight="1">
      <c r="H579" s="100"/>
    </row>
    <row r="580" ht="15.75" customHeight="1">
      <c r="H580" s="100"/>
    </row>
    <row r="581" ht="15.75" customHeight="1">
      <c r="H581" s="100"/>
    </row>
    <row r="582" ht="15.75" customHeight="1">
      <c r="H582" s="100"/>
    </row>
    <row r="583" ht="15.75" customHeight="1">
      <c r="H583" s="100"/>
    </row>
    <row r="584" ht="15.75" customHeight="1">
      <c r="H584" s="100"/>
    </row>
    <row r="585" ht="15.75" customHeight="1">
      <c r="H585" s="100"/>
    </row>
    <row r="586" ht="15.75" customHeight="1">
      <c r="H586" s="100"/>
    </row>
    <row r="587" ht="15.75" customHeight="1">
      <c r="H587" s="100"/>
    </row>
    <row r="588" ht="15.75" customHeight="1">
      <c r="H588" s="100"/>
    </row>
    <row r="589" ht="15.75" customHeight="1">
      <c r="H589" s="100"/>
    </row>
    <row r="590" ht="15.75" customHeight="1">
      <c r="H590" s="100"/>
    </row>
    <row r="591" ht="15.75" customHeight="1">
      <c r="H591" s="100"/>
    </row>
    <row r="592" ht="15.75" customHeight="1">
      <c r="H592" s="100"/>
    </row>
    <row r="593" ht="15.75" customHeight="1">
      <c r="H593" s="100"/>
    </row>
    <row r="594" ht="15.75" customHeight="1">
      <c r="H594" s="100"/>
    </row>
    <row r="595" ht="15.75" customHeight="1">
      <c r="H595" s="100"/>
    </row>
    <row r="596" ht="15.75" customHeight="1">
      <c r="H596" s="100"/>
    </row>
    <row r="597" ht="15.75" customHeight="1">
      <c r="H597" s="100"/>
    </row>
    <row r="598" ht="15.75" customHeight="1">
      <c r="H598" s="100"/>
    </row>
    <row r="599" ht="15.75" customHeight="1">
      <c r="H599" s="100"/>
    </row>
    <row r="600" ht="15.75" customHeight="1">
      <c r="H600" s="100"/>
    </row>
    <row r="601" ht="15.75" customHeight="1">
      <c r="H601" s="100"/>
    </row>
    <row r="602" ht="15.75" customHeight="1">
      <c r="H602" s="100"/>
    </row>
    <row r="603" ht="15.75" customHeight="1">
      <c r="H603" s="100"/>
    </row>
    <row r="604" ht="15.75" customHeight="1">
      <c r="H604" s="100"/>
    </row>
    <row r="605" ht="15.75" customHeight="1">
      <c r="H605" s="100"/>
    </row>
    <row r="606" ht="15.75" customHeight="1">
      <c r="H606" s="100"/>
    </row>
    <row r="607" ht="15.75" customHeight="1">
      <c r="H607" s="100"/>
    </row>
    <row r="608" ht="15.75" customHeight="1">
      <c r="H608" s="100"/>
    </row>
    <row r="609" ht="15.75" customHeight="1">
      <c r="H609" s="100"/>
    </row>
    <row r="610" ht="15.75" customHeight="1">
      <c r="H610" s="100"/>
    </row>
    <row r="611" ht="15.75" customHeight="1">
      <c r="H611" s="100"/>
    </row>
    <row r="612" ht="15.75" customHeight="1">
      <c r="H612" s="100"/>
    </row>
    <row r="613" ht="15.75" customHeight="1">
      <c r="H613" s="100"/>
    </row>
    <row r="614" ht="15.75" customHeight="1">
      <c r="H614" s="100"/>
    </row>
    <row r="615" ht="15.75" customHeight="1">
      <c r="H615" s="100"/>
    </row>
    <row r="616" ht="15.75" customHeight="1">
      <c r="H616" s="100"/>
    </row>
    <row r="617" ht="15.75" customHeight="1">
      <c r="H617" s="100"/>
    </row>
    <row r="618" ht="15.75" customHeight="1">
      <c r="H618" s="100"/>
    </row>
    <row r="619" ht="15.75" customHeight="1">
      <c r="H619" s="100"/>
    </row>
    <row r="620" ht="15.75" customHeight="1">
      <c r="H620" s="100"/>
    </row>
    <row r="621" ht="15.75" customHeight="1">
      <c r="H621" s="100"/>
    </row>
    <row r="622" ht="15.75" customHeight="1">
      <c r="H622" s="100"/>
    </row>
    <row r="623" ht="15.75" customHeight="1">
      <c r="H623" s="100"/>
    </row>
    <row r="624" ht="15.75" customHeight="1">
      <c r="H624" s="100"/>
    </row>
    <row r="625" ht="15.75" customHeight="1">
      <c r="H625" s="100"/>
    </row>
    <row r="626" ht="15.75" customHeight="1">
      <c r="H626" s="100"/>
    </row>
    <row r="627" ht="15.75" customHeight="1">
      <c r="H627" s="100"/>
    </row>
    <row r="628" ht="15.75" customHeight="1">
      <c r="H628" s="100"/>
    </row>
    <row r="629" ht="15.75" customHeight="1">
      <c r="H629" s="100"/>
    </row>
    <row r="630" ht="15.75" customHeight="1">
      <c r="H630" s="100"/>
    </row>
    <row r="631" ht="15.75" customHeight="1">
      <c r="H631" s="100"/>
    </row>
    <row r="632" ht="15.75" customHeight="1">
      <c r="H632" s="100"/>
    </row>
    <row r="633" ht="15.75" customHeight="1">
      <c r="H633" s="100"/>
    </row>
    <row r="634" ht="15.75" customHeight="1">
      <c r="H634" s="100"/>
    </row>
    <row r="635" ht="15.75" customHeight="1">
      <c r="H635" s="100"/>
    </row>
    <row r="636" ht="15.75" customHeight="1">
      <c r="H636" s="100"/>
    </row>
    <row r="637" ht="15.75" customHeight="1">
      <c r="H637" s="100"/>
    </row>
    <row r="638" ht="15.75" customHeight="1">
      <c r="H638" s="100"/>
    </row>
    <row r="639" ht="15.75" customHeight="1">
      <c r="H639" s="100"/>
    </row>
    <row r="640" ht="15.75" customHeight="1">
      <c r="H640" s="100"/>
    </row>
    <row r="641" ht="15.75" customHeight="1">
      <c r="H641" s="100"/>
    </row>
    <row r="642" ht="15.75" customHeight="1">
      <c r="H642" s="100"/>
    </row>
    <row r="643" ht="15.75" customHeight="1">
      <c r="H643" s="100"/>
    </row>
    <row r="644" ht="15.75" customHeight="1">
      <c r="H644" s="100"/>
    </row>
    <row r="645" ht="15.75" customHeight="1">
      <c r="H645" s="100"/>
    </row>
    <row r="646" ht="15.75" customHeight="1">
      <c r="H646" s="100"/>
    </row>
    <row r="647" ht="15.75" customHeight="1">
      <c r="H647" s="100"/>
    </row>
    <row r="648" ht="15.75" customHeight="1">
      <c r="H648" s="100"/>
    </row>
    <row r="649" ht="15.75" customHeight="1">
      <c r="H649" s="100"/>
    </row>
    <row r="650" ht="15.75" customHeight="1">
      <c r="H650" s="100"/>
    </row>
    <row r="651" ht="15.75" customHeight="1">
      <c r="H651" s="100"/>
    </row>
    <row r="652" ht="15.75" customHeight="1">
      <c r="H652" s="100"/>
    </row>
    <row r="653" ht="15.75" customHeight="1">
      <c r="H653" s="100"/>
    </row>
    <row r="654" ht="15.75" customHeight="1">
      <c r="H654" s="100"/>
    </row>
    <row r="655" ht="15.75" customHeight="1">
      <c r="H655" s="100"/>
    </row>
    <row r="656" ht="15.75" customHeight="1">
      <c r="H656" s="100"/>
    </row>
    <row r="657" ht="15.75" customHeight="1">
      <c r="H657" s="100"/>
    </row>
    <row r="658" ht="15.75" customHeight="1">
      <c r="H658" s="100"/>
    </row>
    <row r="659" ht="15.75" customHeight="1">
      <c r="H659" s="100"/>
    </row>
    <row r="660" ht="15.75" customHeight="1">
      <c r="H660" s="100"/>
    </row>
    <row r="661" ht="15.75" customHeight="1">
      <c r="H661" s="100"/>
    </row>
    <row r="662" ht="15.75" customHeight="1">
      <c r="H662" s="100"/>
    </row>
    <row r="663" ht="15.75" customHeight="1">
      <c r="H663" s="100"/>
    </row>
    <row r="664" ht="15.75" customHeight="1">
      <c r="H664" s="100"/>
    </row>
    <row r="665" ht="15.75" customHeight="1">
      <c r="H665" s="100"/>
    </row>
    <row r="666" ht="15.75" customHeight="1">
      <c r="H666" s="100"/>
    </row>
    <row r="667" ht="15.75" customHeight="1">
      <c r="H667" s="100"/>
    </row>
    <row r="668" ht="15.75" customHeight="1">
      <c r="H668" s="100"/>
    </row>
    <row r="669" ht="15.75" customHeight="1">
      <c r="H669" s="100"/>
    </row>
    <row r="670" ht="15.75" customHeight="1">
      <c r="H670" s="100"/>
    </row>
    <row r="671" ht="15.75" customHeight="1">
      <c r="H671" s="100"/>
    </row>
    <row r="672" ht="15.75" customHeight="1">
      <c r="H672" s="100"/>
    </row>
    <row r="673" ht="15.75" customHeight="1">
      <c r="H673" s="100"/>
    </row>
    <row r="674" ht="15.75" customHeight="1">
      <c r="H674" s="100"/>
    </row>
    <row r="675" ht="15.75" customHeight="1">
      <c r="H675" s="100"/>
    </row>
    <row r="676" ht="15.75" customHeight="1">
      <c r="H676" s="100"/>
    </row>
    <row r="677" ht="15.75" customHeight="1">
      <c r="H677" s="100"/>
    </row>
    <row r="678" ht="15.75" customHeight="1">
      <c r="H678" s="100"/>
    </row>
    <row r="679" ht="15.75" customHeight="1">
      <c r="H679" s="100"/>
    </row>
    <row r="680" ht="15.75" customHeight="1">
      <c r="H680" s="100"/>
    </row>
    <row r="681" ht="15.75" customHeight="1">
      <c r="H681" s="100"/>
    </row>
    <row r="682" ht="15.75" customHeight="1">
      <c r="H682" s="100"/>
    </row>
    <row r="683" ht="15.75" customHeight="1">
      <c r="H683" s="100"/>
    </row>
    <row r="684" ht="15.75" customHeight="1">
      <c r="H684" s="100"/>
    </row>
    <row r="685" ht="15.75" customHeight="1">
      <c r="H685" s="100"/>
    </row>
    <row r="686" ht="15.75" customHeight="1">
      <c r="H686" s="100"/>
    </row>
    <row r="687" ht="15.75" customHeight="1">
      <c r="H687" s="100"/>
    </row>
    <row r="688" ht="15.75" customHeight="1">
      <c r="H688" s="100"/>
    </row>
    <row r="689" ht="15.75" customHeight="1">
      <c r="H689" s="100"/>
    </row>
    <row r="690" ht="15.75" customHeight="1">
      <c r="H690" s="100"/>
    </row>
    <row r="691" ht="15.75" customHeight="1">
      <c r="H691" s="100"/>
    </row>
    <row r="692" ht="15.75" customHeight="1">
      <c r="H692" s="100"/>
    </row>
    <row r="693" ht="15.75" customHeight="1">
      <c r="H693" s="100"/>
    </row>
    <row r="694" ht="15.75" customHeight="1">
      <c r="H694" s="100"/>
    </row>
    <row r="695" ht="15.75" customHeight="1">
      <c r="H695" s="100"/>
    </row>
    <row r="696" ht="15.75" customHeight="1">
      <c r="H696" s="100"/>
    </row>
    <row r="697" ht="15.75" customHeight="1">
      <c r="H697" s="100"/>
    </row>
    <row r="698" ht="15.75" customHeight="1">
      <c r="H698" s="100"/>
    </row>
    <row r="699" ht="15.75" customHeight="1">
      <c r="H699" s="100"/>
    </row>
    <row r="700" ht="15.75" customHeight="1">
      <c r="H700" s="100"/>
    </row>
    <row r="701" ht="15.75" customHeight="1">
      <c r="H701" s="100"/>
    </row>
    <row r="702" ht="15.75" customHeight="1">
      <c r="H702" s="100"/>
    </row>
    <row r="703" ht="15.75" customHeight="1">
      <c r="H703" s="100"/>
    </row>
    <row r="704" ht="15.75" customHeight="1">
      <c r="H704" s="100"/>
    </row>
    <row r="705" ht="15.75" customHeight="1">
      <c r="H705" s="100"/>
    </row>
    <row r="706" ht="15.75" customHeight="1">
      <c r="H706" s="100"/>
    </row>
    <row r="707" ht="15.75" customHeight="1">
      <c r="H707" s="100"/>
    </row>
    <row r="708" ht="15.75" customHeight="1">
      <c r="H708" s="100"/>
    </row>
    <row r="709" ht="15.75" customHeight="1">
      <c r="H709" s="100"/>
    </row>
    <row r="710" ht="15.75" customHeight="1">
      <c r="H710" s="100"/>
    </row>
    <row r="711" ht="15.75" customHeight="1">
      <c r="H711" s="100"/>
    </row>
    <row r="712" ht="15.75" customHeight="1">
      <c r="H712" s="100"/>
    </row>
    <row r="713" ht="15.75" customHeight="1">
      <c r="H713" s="100"/>
    </row>
    <row r="714" ht="15.75" customHeight="1">
      <c r="H714" s="100"/>
    </row>
    <row r="715" ht="15.75" customHeight="1">
      <c r="H715" s="100"/>
    </row>
    <row r="716" ht="15.75" customHeight="1">
      <c r="H716" s="100"/>
    </row>
    <row r="717" ht="15.75" customHeight="1">
      <c r="H717" s="100"/>
    </row>
    <row r="718" ht="15.75" customHeight="1">
      <c r="H718" s="100"/>
    </row>
    <row r="719" ht="15.75" customHeight="1">
      <c r="H719" s="100"/>
    </row>
    <row r="720" ht="15.75" customHeight="1">
      <c r="H720" s="100"/>
    </row>
    <row r="721" ht="15.75" customHeight="1">
      <c r="H721" s="100"/>
    </row>
    <row r="722" ht="15.75" customHeight="1">
      <c r="H722" s="100"/>
    </row>
    <row r="723" ht="15.75" customHeight="1">
      <c r="H723" s="100"/>
    </row>
    <row r="724" ht="15.75" customHeight="1">
      <c r="H724" s="100"/>
    </row>
    <row r="725" ht="15.75" customHeight="1">
      <c r="H725" s="100"/>
    </row>
    <row r="726" ht="15.75" customHeight="1">
      <c r="H726" s="100"/>
    </row>
    <row r="727" ht="15.75" customHeight="1">
      <c r="H727" s="100"/>
    </row>
    <row r="728" ht="15.75" customHeight="1">
      <c r="H728" s="100"/>
    </row>
    <row r="729" ht="15.75" customHeight="1">
      <c r="H729" s="100"/>
    </row>
    <row r="730" ht="15.75" customHeight="1">
      <c r="H730" s="100"/>
    </row>
    <row r="731" ht="15.75" customHeight="1">
      <c r="H731" s="100"/>
    </row>
    <row r="732" ht="15.75" customHeight="1">
      <c r="H732" s="100"/>
    </row>
    <row r="733" ht="15.75" customHeight="1">
      <c r="H733" s="100"/>
    </row>
    <row r="734" ht="15.75" customHeight="1">
      <c r="H734" s="100"/>
    </row>
    <row r="735" ht="15.75" customHeight="1">
      <c r="H735" s="100"/>
    </row>
    <row r="736" ht="15.75" customHeight="1">
      <c r="H736" s="100"/>
    </row>
    <row r="737" ht="15.75" customHeight="1">
      <c r="H737" s="100"/>
    </row>
    <row r="738" ht="15.75" customHeight="1">
      <c r="H738" s="100"/>
    </row>
    <row r="739" ht="15.75" customHeight="1">
      <c r="H739" s="100"/>
    </row>
    <row r="740" ht="15.75" customHeight="1">
      <c r="H740" s="100"/>
    </row>
    <row r="741" ht="15.75" customHeight="1">
      <c r="H741" s="100"/>
    </row>
    <row r="742" ht="15.75" customHeight="1">
      <c r="H742" s="100"/>
    </row>
    <row r="743" ht="15.75" customHeight="1">
      <c r="H743" s="100"/>
    </row>
    <row r="744" ht="15.75" customHeight="1">
      <c r="H744" s="100"/>
    </row>
    <row r="745" ht="15.75" customHeight="1">
      <c r="H745" s="100"/>
    </row>
    <row r="746" ht="15.75" customHeight="1">
      <c r="H746" s="100"/>
    </row>
    <row r="747" ht="15.75" customHeight="1">
      <c r="H747" s="100"/>
    </row>
    <row r="748" ht="15.75" customHeight="1">
      <c r="H748" s="100"/>
    </row>
    <row r="749" ht="15.75" customHeight="1">
      <c r="H749" s="100"/>
    </row>
    <row r="750" ht="15.75" customHeight="1">
      <c r="H750" s="100"/>
    </row>
    <row r="751" ht="15.75" customHeight="1">
      <c r="H751" s="100"/>
    </row>
    <row r="752" ht="15.75" customHeight="1">
      <c r="H752" s="100"/>
    </row>
    <row r="753" ht="15.75" customHeight="1">
      <c r="H753" s="100"/>
    </row>
    <row r="754" ht="15.75" customHeight="1">
      <c r="H754" s="100"/>
    </row>
    <row r="755" ht="15.75" customHeight="1">
      <c r="H755" s="100"/>
    </row>
    <row r="756" ht="15.75" customHeight="1">
      <c r="H756" s="100"/>
    </row>
    <row r="757" ht="15.75" customHeight="1">
      <c r="H757" s="100"/>
    </row>
    <row r="758" ht="15.75" customHeight="1">
      <c r="H758" s="100"/>
    </row>
    <row r="759" ht="15.75" customHeight="1">
      <c r="H759" s="100"/>
    </row>
    <row r="760" ht="15.75" customHeight="1">
      <c r="H760" s="100"/>
    </row>
    <row r="761" ht="15.75" customHeight="1">
      <c r="H761" s="100"/>
    </row>
    <row r="762" ht="15.75" customHeight="1">
      <c r="H762" s="100"/>
    </row>
    <row r="763" ht="15.75" customHeight="1">
      <c r="H763" s="100"/>
    </row>
    <row r="764" ht="15.75" customHeight="1">
      <c r="H764" s="100"/>
    </row>
    <row r="765" ht="15.75" customHeight="1">
      <c r="H765" s="100"/>
    </row>
    <row r="766" ht="15.75" customHeight="1">
      <c r="H766" s="100"/>
    </row>
    <row r="767" ht="15.75" customHeight="1">
      <c r="H767" s="100"/>
    </row>
    <row r="768" ht="15.75" customHeight="1">
      <c r="H768" s="100"/>
    </row>
    <row r="769" ht="15.75" customHeight="1">
      <c r="H769" s="100"/>
    </row>
    <row r="770" ht="15.75" customHeight="1">
      <c r="H770" s="100"/>
    </row>
    <row r="771" ht="15.75" customHeight="1">
      <c r="H771" s="100"/>
    </row>
    <row r="772" ht="15.75" customHeight="1">
      <c r="H772" s="100"/>
    </row>
    <row r="773" ht="15.75" customHeight="1">
      <c r="H773" s="100"/>
    </row>
    <row r="774" ht="15.75" customHeight="1">
      <c r="H774" s="100"/>
    </row>
    <row r="775" ht="15.75" customHeight="1">
      <c r="H775" s="100"/>
    </row>
    <row r="776" ht="15.75" customHeight="1">
      <c r="H776" s="100"/>
    </row>
    <row r="777" ht="15.75" customHeight="1">
      <c r="H777" s="100"/>
    </row>
    <row r="778" ht="15.75" customHeight="1">
      <c r="H778" s="100"/>
    </row>
    <row r="779" ht="15.75" customHeight="1">
      <c r="H779" s="100"/>
    </row>
    <row r="780" ht="15.75" customHeight="1">
      <c r="H780" s="100"/>
    </row>
    <row r="781" ht="15.75" customHeight="1">
      <c r="H781" s="100"/>
    </row>
    <row r="782" ht="15.75" customHeight="1">
      <c r="H782" s="100"/>
    </row>
    <row r="783" ht="15.75" customHeight="1">
      <c r="H783" s="100"/>
    </row>
    <row r="784" ht="15.75" customHeight="1">
      <c r="H784" s="100"/>
    </row>
    <row r="785" ht="15.75" customHeight="1">
      <c r="H785" s="100"/>
    </row>
    <row r="786" ht="15.75" customHeight="1">
      <c r="H786" s="100"/>
    </row>
    <row r="787" ht="15.75" customHeight="1">
      <c r="H787" s="100"/>
    </row>
    <row r="788" ht="15.75" customHeight="1">
      <c r="H788" s="100"/>
    </row>
    <row r="789" ht="15.75" customHeight="1">
      <c r="H789" s="100"/>
    </row>
    <row r="790" ht="15.75" customHeight="1">
      <c r="H790" s="100"/>
    </row>
    <row r="791" ht="15.75" customHeight="1">
      <c r="H791" s="100"/>
    </row>
    <row r="792" ht="15.75" customHeight="1">
      <c r="H792" s="100"/>
    </row>
    <row r="793" ht="15.75" customHeight="1">
      <c r="H793" s="100"/>
    </row>
    <row r="794" ht="15.75" customHeight="1">
      <c r="H794" s="100"/>
    </row>
    <row r="795" ht="15.75" customHeight="1">
      <c r="H795" s="100"/>
    </row>
    <row r="796" ht="15.75" customHeight="1">
      <c r="H796" s="100"/>
    </row>
    <row r="797" ht="15.75" customHeight="1">
      <c r="H797" s="100"/>
    </row>
    <row r="798" ht="15.75" customHeight="1">
      <c r="H798" s="100"/>
    </row>
    <row r="799" ht="15.75" customHeight="1">
      <c r="H799" s="100"/>
    </row>
    <row r="800" ht="15.75" customHeight="1">
      <c r="H800" s="100"/>
    </row>
    <row r="801" ht="15.75" customHeight="1">
      <c r="H801" s="100"/>
    </row>
    <row r="802" ht="15.75" customHeight="1">
      <c r="H802" s="100"/>
    </row>
    <row r="803" ht="15.75" customHeight="1">
      <c r="H803" s="100"/>
    </row>
    <row r="804" ht="15.75" customHeight="1">
      <c r="H804" s="100"/>
    </row>
    <row r="805" ht="15.75" customHeight="1">
      <c r="H805" s="100"/>
    </row>
    <row r="806" ht="15.75" customHeight="1">
      <c r="H806" s="100"/>
    </row>
    <row r="807" ht="15.75" customHeight="1">
      <c r="H807" s="100"/>
    </row>
    <row r="808" ht="15.75" customHeight="1">
      <c r="H808" s="100"/>
    </row>
    <row r="809" ht="15.75" customHeight="1">
      <c r="H809" s="100"/>
    </row>
    <row r="810" ht="15.75" customHeight="1">
      <c r="H810" s="100"/>
    </row>
    <row r="811" ht="15.75" customHeight="1">
      <c r="H811" s="100"/>
    </row>
    <row r="812" ht="15.75" customHeight="1">
      <c r="H812" s="100"/>
    </row>
    <row r="813" ht="15.75" customHeight="1">
      <c r="H813" s="100"/>
    </row>
    <row r="814" ht="15.75" customHeight="1">
      <c r="H814" s="100"/>
    </row>
    <row r="815" ht="15.75" customHeight="1">
      <c r="H815" s="100"/>
    </row>
    <row r="816" ht="15.75" customHeight="1">
      <c r="H816" s="100"/>
    </row>
    <row r="817" ht="15.75" customHeight="1">
      <c r="H817" s="100"/>
    </row>
    <row r="818" ht="15.75" customHeight="1">
      <c r="H818" s="100"/>
    </row>
    <row r="819" ht="15.75" customHeight="1">
      <c r="H819" s="100"/>
    </row>
    <row r="820" ht="15.75" customHeight="1">
      <c r="H820" s="100"/>
    </row>
    <row r="821" ht="15.75" customHeight="1">
      <c r="H821" s="100"/>
    </row>
    <row r="822" ht="15.75" customHeight="1">
      <c r="H822" s="100"/>
    </row>
    <row r="823" ht="15.75" customHeight="1">
      <c r="H823" s="100"/>
    </row>
    <row r="824" ht="15.75" customHeight="1">
      <c r="H824" s="100"/>
    </row>
    <row r="825" ht="15.75" customHeight="1">
      <c r="H825" s="100"/>
    </row>
    <row r="826" ht="15.75" customHeight="1">
      <c r="H826" s="100"/>
    </row>
    <row r="827" ht="15.75" customHeight="1">
      <c r="H827" s="100"/>
    </row>
    <row r="828" ht="15.75" customHeight="1">
      <c r="H828" s="100"/>
    </row>
    <row r="829" ht="15.75" customHeight="1">
      <c r="H829" s="100"/>
    </row>
    <row r="830" ht="15.75" customHeight="1">
      <c r="H830" s="100"/>
    </row>
    <row r="831" ht="15.75" customHeight="1">
      <c r="H831" s="100"/>
    </row>
    <row r="832" ht="15.75" customHeight="1">
      <c r="H832" s="100"/>
    </row>
    <row r="833" ht="15.75" customHeight="1">
      <c r="H833" s="100"/>
    </row>
    <row r="834" ht="15.75" customHeight="1">
      <c r="H834" s="100"/>
    </row>
    <row r="835" ht="15.75" customHeight="1">
      <c r="H835" s="100"/>
    </row>
    <row r="836" ht="15.75" customHeight="1">
      <c r="H836" s="100"/>
    </row>
    <row r="837" ht="15.75" customHeight="1">
      <c r="H837" s="100"/>
    </row>
    <row r="838" ht="15.75" customHeight="1">
      <c r="H838" s="100"/>
    </row>
    <row r="839" ht="15.75" customHeight="1">
      <c r="H839" s="100"/>
    </row>
    <row r="840" ht="15.75" customHeight="1">
      <c r="H840" s="100"/>
    </row>
    <row r="841" ht="15.75" customHeight="1">
      <c r="H841" s="100"/>
    </row>
    <row r="842" ht="15.75" customHeight="1">
      <c r="H842" s="100"/>
    </row>
    <row r="843" ht="15.75" customHeight="1">
      <c r="H843" s="100"/>
    </row>
    <row r="844" ht="15.75" customHeight="1">
      <c r="H844" s="100"/>
    </row>
    <row r="845" ht="15.75" customHeight="1">
      <c r="H845" s="100"/>
    </row>
    <row r="846" ht="15.75" customHeight="1">
      <c r="H846" s="100"/>
    </row>
    <row r="847" ht="15.75" customHeight="1">
      <c r="H847" s="100"/>
    </row>
    <row r="848" ht="15.75" customHeight="1">
      <c r="H848" s="100"/>
    </row>
    <row r="849" ht="15.75" customHeight="1">
      <c r="H849" s="100"/>
    </row>
    <row r="850" ht="15.75" customHeight="1">
      <c r="H850" s="100"/>
    </row>
    <row r="851" ht="15.75" customHeight="1">
      <c r="H851" s="100"/>
    </row>
    <row r="852" ht="15.75" customHeight="1">
      <c r="H852" s="100"/>
    </row>
    <row r="853" ht="15.75" customHeight="1">
      <c r="H853" s="100"/>
    </row>
    <row r="854" ht="15.75" customHeight="1">
      <c r="H854" s="100"/>
    </row>
    <row r="855" ht="15.75" customHeight="1">
      <c r="H855" s="100"/>
    </row>
    <row r="856" ht="15.75" customHeight="1">
      <c r="H856" s="100"/>
    </row>
    <row r="857" ht="15.75" customHeight="1">
      <c r="H857" s="100"/>
    </row>
    <row r="858" ht="15.75" customHeight="1">
      <c r="H858" s="100"/>
    </row>
    <row r="859" ht="15.75" customHeight="1">
      <c r="H859" s="100"/>
    </row>
    <row r="860" ht="15.75" customHeight="1">
      <c r="H860" s="100"/>
    </row>
    <row r="861" ht="15.75" customHeight="1">
      <c r="H861" s="100"/>
    </row>
    <row r="862" ht="15.75" customHeight="1">
      <c r="H862" s="100"/>
    </row>
    <row r="863" ht="15.75" customHeight="1">
      <c r="H863" s="100"/>
    </row>
    <row r="864" ht="15.75" customHeight="1">
      <c r="H864" s="100"/>
    </row>
    <row r="865" ht="15.75" customHeight="1">
      <c r="H865" s="100"/>
    </row>
    <row r="866" ht="15.75" customHeight="1">
      <c r="H866" s="100"/>
    </row>
    <row r="867" ht="15.75" customHeight="1">
      <c r="H867" s="100"/>
    </row>
    <row r="868" ht="15.75" customHeight="1">
      <c r="H868" s="100"/>
    </row>
    <row r="869" ht="15.75" customHeight="1">
      <c r="H869" s="100"/>
    </row>
    <row r="870" ht="15.75" customHeight="1">
      <c r="H870" s="100"/>
    </row>
    <row r="871" ht="15.75" customHeight="1">
      <c r="H871" s="100"/>
    </row>
    <row r="872" ht="15.75" customHeight="1">
      <c r="H872" s="100"/>
    </row>
    <row r="873" ht="15.75" customHeight="1">
      <c r="H873" s="100"/>
    </row>
    <row r="874" ht="15.75" customHeight="1">
      <c r="H874" s="100"/>
    </row>
    <row r="875" ht="15.75" customHeight="1">
      <c r="H875" s="100"/>
    </row>
    <row r="876" ht="15.75" customHeight="1">
      <c r="H876" s="100"/>
    </row>
    <row r="877" ht="15.75" customHeight="1">
      <c r="H877" s="100"/>
    </row>
    <row r="878" ht="15.75" customHeight="1">
      <c r="H878" s="100"/>
    </row>
    <row r="879" ht="15.75" customHeight="1">
      <c r="H879" s="100"/>
    </row>
    <row r="880" ht="15.75" customHeight="1">
      <c r="H880" s="100"/>
    </row>
    <row r="881" ht="15.75" customHeight="1">
      <c r="H881" s="100"/>
    </row>
    <row r="882" ht="15.75" customHeight="1">
      <c r="H882" s="100"/>
    </row>
    <row r="883" ht="15.75" customHeight="1">
      <c r="H883" s="100"/>
    </row>
    <row r="884" ht="15.75" customHeight="1">
      <c r="H884" s="100"/>
    </row>
    <row r="885" ht="15.75" customHeight="1">
      <c r="H885" s="100"/>
    </row>
    <row r="886" ht="15.75" customHeight="1">
      <c r="H886" s="100"/>
    </row>
    <row r="887" ht="15.75" customHeight="1">
      <c r="H887" s="100"/>
    </row>
    <row r="888" ht="15.75" customHeight="1">
      <c r="H888" s="100"/>
    </row>
    <row r="889" ht="15.75" customHeight="1">
      <c r="H889" s="100"/>
    </row>
    <row r="890" ht="15.75" customHeight="1">
      <c r="H890" s="100"/>
    </row>
    <row r="891" ht="15.75" customHeight="1">
      <c r="H891" s="100"/>
    </row>
    <row r="892" ht="15.75" customHeight="1">
      <c r="H892" s="100"/>
    </row>
    <row r="893" ht="15.75" customHeight="1">
      <c r="H893" s="100"/>
    </row>
    <row r="894" ht="15.75" customHeight="1">
      <c r="H894" s="100"/>
    </row>
    <row r="895" ht="15.75" customHeight="1">
      <c r="H895" s="100"/>
    </row>
    <row r="896" ht="15.75" customHeight="1">
      <c r="H896" s="100"/>
    </row>
    <row r="897" ht="15.75" customHeight="1">
      <c r="H897" s="100"/>
    </row>
    <row r="898" ht="15.75" customHeight="1">
      <c r="H898" s="100"/>
    </row>
    <row r="899" ht="15.75" customHeight="1">
      <c r="H899" s="100"/>
    </row>
    <row r="900" ht="15.75" customHeight="1">
      <c r="H900" s="100"/>
    </row>
    <row r="901" ht="15.75" customHeight="1">
      <c r="H901" s="100"/>
    </row>
    <row r="902" ht="15.75" customHeight="1">
      <c r="H902" s="100"/>
    </row>
    <row r="903" ht="15.75" customHeight="1">
      <c r="H903" s="100"/>
    </row>
    <row r="904" ht="15.75" customHeight="1">
      <c r="H904" s="100"/>
    </row>
    <row r="905" ht="15.75" customHeight="1">
      <c r="H905" s="100"/>
    </row>
    <row r="906" ht="15.75" customHeight="1">
      <c r="H906" s="100"/>
    </row>
    <row r="907" ht="15.75" customHeight="1">
      <c r="H907" s="100"/>
    </row>
    <row r="908" ht="15.75" customHeight="1">
      <c r="H908" s="100"/>
    </row>
    <row r="909" ht="15.75" customHeight="1">
      <c r="H909" s="100"/>
    </row>
    <row r="910" ht="15.75" customHeight="1">
      <c r="H910" s="100"/>
    </row>
    <row r="911" ht="15.75" customHeight="1">
      <c r="H911" s="100"/>
    </row>
    <row r="912" ht="15.75" customHeight="1">
      <c r="H912" s="100"/>
    </row>
    <row r="913" ht="15.75" customHeight="1">
      <c r="H913" s="100"/>
    </row>
    <row r="914" ht="15.75" customHeight="1">
      <c r="H914" s="100"/>
    </row>
    <row r="915" ht="15.75" customHeight="1">
      <c r="H915" s="100"/>
    </row>
    <row r="916" ht="15.75" customHeight="1">
      <c r="H916" s="100"/>
    </row>
    <row r="917" ht="15.75" customHeight="1">
      <c r="H917" s="100"/>
    </row>
    <row r="918" ht="15.75" customHeight="1">
      <c r="H918" s="100"/>
    </row>
    <row r="919" ht="15.75" customHeight="1">
      <c r="H919" s="100"/>
    </row>
    <row r="920" ht="15.75" customHeight="1">
      <c r="H920" s="100"/>
    </row>
    <row r="921" ht="15.75" customHeight="1">
      <c r="H921" s="100"/>
    </row>
    <row r="922" ht="15.75" customHeight="1">
      <c r="H922" s="100"/>
    </row>
    <row r="923" ht="15.75" customHeight="1">
      <c r="H923" s="100"/>
    </row>
    <row r="924" ht="15.75" customHeight="1">
      <c r="H924" s="100"/>
    </row>
    <row r="925" ht="15.75" customHeight="1">
      <c r="H925" s="100"/>
    </row>
    <row r="926" ht="15.75" customHeight="1">
      <c r="H926" s="100"/>
    </row>
    <row r="927" ht="15.75" customHeight="1">
      <c r="H927" s="100"/>
    </row>
    <row r="928" ht="15.75" customHeight="1">
      <c r="H928" s="100"/>
    </row>
    <row r="929" ht="15.75" customHeight="1">
      <c r="H929" s="100"/>
    </row>
    <row r="930" ht="15.75" customHeight="1">
      <c r="H930" s="100"/>
    </row>
    <row r="931" ht="15.75" customHeight="1">
      <c r="H931" s="100"/>
    </row>
    <row r="932" ht="15.75" customHeight="1">
      <c r="H932" s="100"/>
    </row>
    <row r="933" ht="15.75" customHeight="1">
      <c r="H933" s="100"/>
    </row>
    <row r="934" ht="15.75" customHeight="1">
      <c r="H934" s="100"/>
    </row>
    <row r="935" ht="15.75" customHeight="1">
      <c r="H935" s="100"/>
    </row>
    <row r="936" ht="15.75" customHeight="1">
      <c r="H936" s="100"/>
    </row>
    <row r="937" ht="15.75" customHeight="1">
      <c r="H937" s="100"/>
    </row>
    <row r="938" ht="15.75" customHeight="1">
      <c r="H938" s="100"/>
    </row>
    <row r="939" ht="15.75" customHeight="1">
      <c r="H939" s="100"/>
    </row>
    <row r="940" ht="15.75" customHeight="1">
      <c r="H940" s="100"/>
    </row>
    <row r="941" ht="15.75" customHeight="1">
      <c r="H941" s="100"/>
    </row>
    <row r="942" ht="15.75" customHeight="1">
      <c r="H942" s="100"/>
    </row>
    <row r="943" ht="15.75" customHeight="1">
      <c r="H943" s="100"/>
    </row>
    <row r="944" ht="15.75" customHeight="1">
      <c r="H944" s="100"/>
    </row>
    <row r="945" ht="15.75" customHeight="1">
      <c r="H945" s="100"/>
    </row>
    <row r="946" ht="15.75" customHeight="1">
      <c r="H946" s="100"/>
    </row>
    <row r="947" ht="15.75" customHeight="1">
      <c r="H947" s="100"/>
    </row>
    <row r="948" ht="15.75" customHeight="1">
      <c r="H948" s="100"/>
    </row>
    <row r="949" ht="15.75" customHeight="1">
      <c r="H949" s="100"/>
    </row>
    <row r="950" ht="15.75" customHeight="1">
      <c r="H950" s="100"/>
    </row>
    <row r="951" ht="15.75" customHeight="1">
      <c r="H951" s="100"/>
    </row>
    <row r="952" ht="15.75" customHeight="1">
      <c r="H952" s="100"/>
    </row>
    <row r="953" ht="15.75" customHeight="1">
      <c r="H953" s="100"/>
    </row>
    <row r="954" ht="15.75" customHeight="1">
      <c r="H954" s="100"/>
    </row>
    <row r="955" ht="15.75" customHeight="1">
      <c r="H955" s="100"/>
    </row>
    <row r="956" ht="15.75" customHeight="1">
      <c r="H956" s="100"/>
    </row>
    <row r="957" ht="15.75" customHeight="1">
      <c r="H957" s="100"/>
    </row>
    <row r="958" ht="15.75" customHeight="1">
      <c r="H958" s="100"/>
    </row>
    <row r="959" ht="15.75" customHeight="1">
      <c r="H959" s="100"/>
    </row>
    <row r="960" ht="15.75" customHeight="1">
      <c r="H960" s="100"/>
    </row>
    <row r="961" ht="15.75" customHeight="1">
      <c r="H961" s="100"/>
    </row>
    <row r="962" ht="15.75" customHeight="1">
      <c r="H962" s="100"/>
    </row>
    <row r="963" ht="15.75" customHeight="1">
      <c r="H963" s="100"/>
    </row>
    <row r="964" ht="15.75" customHeight="1">
      <c r="H964" s="100"/>
    </row>
    <row r="965" ht="15.75" customHeight="1">
      <c r="H965" s="100"/>
    </row>
    <row r="966" ht="15.75" customHeight="1">
      <c r="H966" s="100"/>
    </row>
    <row r="967" ht="15.75" customHeight="1">
      <c r="H967" s="100"/>
    </row>
    <row r="968" ht="15.75" customHeight="1">
      <c r="H968" s="100"/>
    </row>
    <row r="969" ht="15.75" customHeight="1">
      <c r="H969" s="100"/>
    </row>
    <row r="970" ht="15.75" customHeight="1">
      <c r="H970" s="100"/>
    </row>
    <row r="971" ht="15.75" customHeight="1">
      <c r="H971" s="100"/>
    </row>
    <row r="972" ht="15.75" customHeight="1">
      <c r="H972" s="100"/>
    </row>
    <row r="973" ht="15.75" customHeight="1">
      <c r="H973" s="100"/>
    </row>
    <row r="974" ht="15.75" customHeight="1">
      <c r="H974" s="100"/>
    </row>
    <row r="975" ht="15.75" customHeight="1">
      <c r="H975" s="100"/>
    </row>
    <row r="976" ht="15.75" customHeight="1">
      <c r="H976" s="100"/>
    </row>
    <row r="977" ht="15.75" customHeight="1">
      <c r="H977" s="100"/>
    </row>
    <row r="978" ht="15.75" customHeight="1">
      <c r="H978" s="100"/>
    </row>
    <row r="979" ht="15.75" customHeight="1">
      <c r="H979" s="100"/>
    </row>
    <row r="980" ht="15.75" customHeight="1">
      <c r="H980" s="100"/>
    </row>
    <row r="981" ht="15.75" customHeight="1">
      <c r="H981" s="100"/>
    </row>
    <row r="982" ht="15.75" customHeight="1">
      <c r="H982" s="100"/>
    </row>
    <row r="983" ht="15.75" customHeight="1">
      <c r="H983" s="100"/>
    </row>
    <row r="984" ht="15.75" customHeight="1">
      <c r="H984" s="100"/>
    </row>
    <row r="985" ht="15.75" customHeight="1">
      <c r="H985" s="100"/>
    </row>
    <row r="986" ht="15.75" customHeight="1">
      <c r="H986" s="100"/>
    </row>
    <row r="987" ht="15.75" customHeight="1">
      <c r="H987" s="100"/>
    </row>
    <row r="988" ht="15.75" customHeight="1">
      <c r="H988" s="100"/>
    </row>
    <row r="989" ht="15.75" customHeight="1">
      <c r="H989" s="100"/>
    </row>
    <row r="990" ht="15.75" customHeight="1">
      <c r="H990" s="100"/>
    </row>
    <row r="991" ht="15.75" customHeight="1">
      <c r="H991" s="100"/>
    </row>
    <row r="992" ht="15.75" customHeight="1">
      <c r="H992" s="100"/>
    </row>
    <row r="993" ht="15.75" customHeight="1">
      <c r="H993" s="100"/>
    </row>
    <row r="994" ht="15.75" customHeight="1">
      <c r="H994" s="100"/>
    </row>
    <row r="995" ht="15.75" customHeight="1">
      <c r="H995" s="100"/>
    </row>
    <row r="996" ht="15.75" customHeight="1">
      <c r="H996" s="100"/>
    </row>
    <row r="997" ht="15.75" customHeight="1">
      <c r="H997" s="100"/>
    </row>
    <row r="998" ht="15.75" customHeight="1">
      <c r="H998" s="100"/>
    </row>
    <row r="999" ht="15.75" customHeight="1">
      <c r="H999" s="100"/>
    </row>
    <row r="1000" ht="15.75" customHeight="1">
      <c r="H1000" s="100"/>
    </row>
    <row r="1001" ht="15.75" customHeight="1">
      <c r="H1001" s="10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20.75"/>
    <col customWidth="1" min="3" max="3" width="18.0"/>
    <col customWidth="1" min="4" max="4" width="13.63"/>
    <col customWidth="1" min="5" max="5" width="15.25"/>
    <col customWidth="1" min="6" max="6" width="15.13"/>
    <col customWidth="1" min="7" max="7" width="14.38"/>
    <col customWidth="1" min="8" max="8" width="18.25"/>
    <col customWidth="1" min="9" max="26" width="14.38"/>
  </cols>
  <sheetData>
    <row r="1" ht="14.25" customHeight="1">
      <c r="A1" s="112" t="s">
        <v>157</v>
      </c>
      <c r="B1" s="113" t="s">
        <v>158</v>
      </c>
      <c r="C1" s="113" t="s">
        <v>159</v>
      </c>
      <c r="D1" s="113" t="s">
        <v>142</v>
      </c>
      <c r="E1" s="113" t="s">
        <v>143</v>
      </c>
      <c r="F1" s="114" t="s">
        <v>160</v>
      </c>
    </row>
    <row r="2" ht="14.25" customHeight="1">
      <c r="A2" s="115">
        <v>1.0</v>
      </c>
      <c r="B2" s="116">
        <v>3750000.0</v>
      </c>
      <c r="C2" s="109">
        <f t="shared" ref="C2:C61" si="1">PMT(4%/12,300,-3750000)</f>
        <v>19793.88151</v>
      </c>
      <c r="D2" s="109">
        <f t="shared" ref="D2:D25" si="2">B2*4%/12</f>
        <v>12500</v>
      </c>
      <c r="E2" s="109">
        <f t="shared" ref="E2:E61" si="3">C2-D2</f>
        <v>7293.881511</v>
      </c>
      <c r="F2" s="117">
        <f t="shared" ref="F2:F61" si="4">B2-E2</f>
        <v>3742706.118</v>
      </c>
    </row>
    <row r="3" ht="14.25" customHeight="1">
      <c r="A3" s="115">
        <v>2.0</v>
      </c>
      <c r="B3" s="109">
        <f t="shared" ref="B3:B61" si="5">F2</f>
        <v>3742706.118</v>
      </c>
      <c r="C3" s="109">
        <f t="shared" si="1"/>
        <v>19793.88151</v>
      </c>
      <c r="D3" s="109">
        <f t="shared" si="2"/>
        <v>12475.68706</v>
      </c>
      <c r="E3" s="109">
        <f t="shared" si="3"/>
        <v>7318.19445</v>
      </c>
      <c r="F3" s="117">
        <f t="shared" si="4"/>
        <v>3735387.924</v>
      </c>
      <c r="H3" s="3" t="s">
        <v>161</v>
      </c>
    </row>
    <row r="4" ht="14.25" customHeight="1">
      <c r="A4" s="115">
        <v>3.0</v>
      </c>
      <c r="B4" s="109">
        <f t="shared" si="5"/>
        <v>3735387.924</v>
      </c>
      <c r="C4" s="109">
        <f t="shared" si="1"/>
        <v>19793.88151</v>
      </c>
      <c r="D4" s="109">
        <f t="shared" si="2"/>
        <v>12451.29308</v>
      </c>
      <c r="E4" s="109">
        <f t="shared" si="3"/>
        <v>7342.588431</v>
      </c>
      <c r="F4" s="117">
        <f t="shared" si="4"/>
        <v>3728045.336</v>
      </c>
    </row>
    <row r="5" ht="14.25" customHeight="1">
      <c r="A5" s="115">
        <v>4.0</v>
      </c>
      <c r="B5" s="109">
        <f t="shared" si="5"/>
        <v>3728045.336</v>
      </c>
      <c r="C5" s="109">
        <f t="shared" si="1"/>
        <v>19793.88151</v>
      </c>
      <c r="D5" s="109">
        <f t="shared" si="2"/>
        <v>12426.81779</v>
      </c>
      <c r="E5" s="109">
        <f t="shared" si="3"/>
        <v>7367.063726</v>
      </c>
      <c r="F5" s="117">
        <f t="shared" si="4"/>
        <v>3720678.272</v>
      </c>
    </row>
    <row r="6" ht="14.25" customHeight="1">
      <c r="A6" s="115">
        <v>5.0</v>
      </c>
      <c r="B6" s="109">
        <f t="shared" si="5"/>
        <v>3720678.272</v>
      </c>
      <c r="C6" s="109">
        <f t="shared" si="1"/>
        <v>19793.88151</v>
      </c>
      <c r="D6" s="109">
        <f t="shared" si="2"/>
        <v>12402.26091</v>
      </c>
      <c r="E6" s="109">
        <f t="shared" si="3"/>
        <v>7391.620605</v>
      </c>
      <c r="F6" s="117">
        <f t="shared" si="4"/>
        <v>3713286.651</v>
      </c>
    </row>
    <row r="7" ht="14.25" customHeight="1">
      <c r="A7" s="115">
        <v>6.0</v>
      </c>
      <c r="B7" s="109">
        <f t="shared" si="5"/>
        <v>3713286.651</v>
      </c>
      <c r="C7" s="109">
        <f t="shared" si="1"/>
        <v>19793.88151</v>
      </c>
      <c r="D7" s="109">
        <f t="shared" si="2"/>
        <v>12377.62217</v>
      </c>
      <c r="E7" s="109">
        <f t="shared" si="3"/>
        <v>7416.25934</v>
      </c>
      <c r="F7" s="117">
        <f t="shared" si="4"/>
        <v>3705870.392</v>
      </c>
    </row>
    <row r="8" ht="14.25" customHeight="1">
      <c r="A8" s="115">
        <v>7.0</v>
      </c>
      <c r="B8" s="109">
        <f t="shared" si="5"/>
        <v>3705870.392</v>
      </c>
      <c r="C8" s="109">
        <f t="shared" si="1"/>
        <v>19793.88151</v>
      </c>
      <c r="D8" s="109">
        <f t="shared" si="2"/>
        <v>12352.90131</v>
      </c>
      <c r="E8" s="109">
        <f t="shared" si="3"/>
        <v>7440.980205</v>
      </c>
      <c r="F8" s="117">
        <f t="shared" si="4"/>
        <v>3698429.412</v>
      </c>
    </row>
    <row r="9" ht="14.25" customHeight="1">
      <c r="A9" s="115">
        <v>8.0</v>
      </c>
      <c r="B9" s="109">
        <f t="shared" si="5"/>
        <v>3698429.412</v>
      </c>
      <c r="C9" s="109">
        <f t="shared" si="1"/>
        <v>19793.88151</v>
      </c>
      <c r="D9" s="109">
        <f t="shared" si="2"/>
        <v>12328.09804</v>
      </c>
      <c r="E9" s="109">
        <f t="shared" si="3"/>
        <v>7465.783472</v>
      </c>
      <c r="F9" s="117">
        <f t="shared" si="4"/>
        <v>3690963.628</v>
      </c>
    </row>
    <row r="10" ht="14.25" customHeight="1">
      <c r="A10" s="115">
        <v>9.0</v>
      </c>
      <c r="B10" s="109">
        <f t="shared" si="5"/>
        <v>3690963.628</v>
      </c>
      <c r="C10" s="109">
        <f t="shared" si="1"/>
        <v>19793.88151</v>
      </c>
      <c r="D10" s="109">
        <f t="shared" si="2"/>
        <v>12303.21209</v>
      </c>
      <c r="E10" s="109">
        <f t="shared" si="3"/>
        <v>7490.669417</v>
      </c>
      <c r="F10" s="117">
        <f t="shared" si="4"/>
        <v>3683472.959</v>
      </c>
    </row>
    <row r="11" ht="14.25" customHeight="1">
      <c r="A11" s="115">
        <v>10.0</v>
      </c>
      <c r="B11" s="109">
        <f t="shared" si="5"/>
        <v>3683472.959</v>
      </c>
      <c r="C11" s="109">
        <f t="shared" si="1"/>
        <v>19793.88151</v>
      </c>
      <c r="D11" s="109">
        <f t="shared" si="2"/>
        <v>12278.2432</v>
      </c>
      <c r="E11" s="109">
        <f t="shared" si="3"/>
        <v>7515.638315</v>
      </c>
      <c r="F11" s="117">
        <f t="shared" si="4"/>
        <v>3675957.321</v>
      </c>
    </row>
    <row r="12" ht="14.25" customHeight="1">
      <c r="A12" s="115">
        <v>11.0</v>
      </c>
      <c r="B12" s="109">
        <f t="shared" si="5"/>
        <v>3675957.321</v>
      </c>
      <c r="C12" s="109">
        <f t="shared" si="1"/>
        <v>19793.88151</v>
      </c>
      <c r="D12" s="109">
        <f t="shared" si="2"/>
        <v>12253.19107</v>
      </c>
      <c r="E12" s="109">
        <f t="shared" si="3"/>
        <v>7540.690443</v>
      </c>
      <c r="F12" s="117">
        <f t="shared" si="4"/>
        <v>3668416.63</v>
      </c>
    </row>
    <row r="13" ht="14.25" customHeight="1">
      <c r="A13" s="115">
        <v>12.0</v>
      </c>
      <c r="B13" s="109">
        <f t="shared" si="5"/>
        <v>3668416.63</v>
      </c>
      <c r="C13" s="109">
        <f t="shared" si="1"/>
        <v>19793.88151</v>
      </c>
      <c r="D13" s="109">
        <f t="shared" si="2"/>
        <v>12228.05543</v>
      </c>
      <c r="E13" s="109">
        <f t="shared" si="3"/>
        <v>7565.826078</v>
      </c>
      <c r="F13" s="117">
        <f t="shared" si="4"/>
        <v>3660850.804</v>
      </c>
    </row>
    <row r="14" ht="14.25" customHeight="1">
      <c r="A14" s="115">
        <v>13.0</v>
      </c>
      <c r="B14" s="109">
        <f t="shared" si="5"/>
        <v>3660850.804</v>
      </c>
      <c r="C14" s="109">
        <f t="shared" si="1"/>
        <v>19793.88151</v>
      </c>
      <c r="D14" s="109">
        <f t="shared" si="2"/>
        <v>12202.83601</v>
      </c>
      <c r="E14" s="109">
        <f t="shared" si="3"/>
        <v>7591.045498</v>
      </c>
      <c r="F14" s="117">
        <f t="shared" si="4"/>
        <v>3653259.759</v>
      </c>
    </row>
    <row r="15" ht="14.25" customHeight="1">
      <c r="A15" s="115">
        <v>14.0</v>
      </c>
      <c r="B15" s="109">
        <f t="shared" si="5"/>
        <v>3653259.759</v>
      </c>
      <c r="C15" s="109">
        <f t="shared" si="1"/>
        <v>19793.88151</v>
      </c>
      <c r="D15" s="109">
        <f t="shared" si="2"/>
        <v>12177.53253</v>
      </c>
      <c r="E15" s="109">
        <f t="shared" si="3"/>
        <v>7616.348983</v>
      </c>
      <c r="F15" s="117">
        <f t="shared" si="4"/>
        <v>3645643.41</v>
      </c>
    </row>
    <row r="16" ht="14.25" customHeight="1">
      <c r="A16" s="115">
        <v>15.0</v>
      </c>
      <c r="B16" s="109">
        <f t="shared" si="5"/>
        <v>3645643.41</v>
      </c>
      <c r="C16" s="109">
        <f t="shared" si="1"/>
        <v>19793.88151</v>
      </c>
      <c r="D16" s="109">
        <f t="shared" si="2"/>
        <v>12152.1447</v>
      </c>
      <c r="E16" s="109">
        <f t="shared" si="3"/>
        <v>7641.736813</v>
      </c>
      <c r="F16" s="117">
        <f t="shared" si="4"/>
        <v>3638001.673</v>
      </c>
    </row>
    <row r="17" ht="14.25" customHeight="1">
      <c r="A17" s="115">
        <v>16.0</v>
      </c>
      <c r="B17" s="109">
        <f t="shared" si="5"/>
        <v>3638001.673</v>
      </c>
      <c r="C17" s="109">
        <f t="shared" si="1"/>
        <v>19793.88151</v>
      </c>
      <c r="D17" s="109">
        <f t="shared" si="2"/>
        <v>12126.67224</v>
      </c>
      <c r="E17" s="109">
        <f t="shared" si="3"/>
        <v>7667.209269</v>
      </c>
      <c r="F17" s="117">
        <f t="shared" si="4"/>
        <v>3630334.463</v>
      </c>
    </row>
    <row r="18" ht="14.25" customHeight="1">
      <c r="A18" s="115">
        <v>17.0</v>
      </c>
      <c r="B18" s="109">
        <f t="shared" si="5"/>
        <v>3630334.463</v>
      </c>
      <c r="C18" s="109">
        <f t="shared" si="1"/>
        <v>19793.88151</v>
      </c>
      <c r="D18" s="109">
        <f t="shared" si="2"/>
        <v>12101.11488</v>
      </c>
      <c r="E18" s="109">
        <f t="shared" si="3"/>
        <v>7692.766633</v>
      </c>
      <c r="F18" s="117">
        <f t="shared" si="4"/>
        <v>3622641.697</v>
      </c>
    </row>
    <row r="19" ht="14.25" customHeight="1">
      <c r="A19" s="115">
        <v>18.0</v>
      </c>
      <c r="B19" s="109">
        <f t="shared" si="5"/>
        <v>3622641.697</v>
      </c>
      <c r="C19" s="109">
        <f t="shared" si="1"/>
        <v>19793.88151</v>
      </c>
      <c r="D19" s="109">
        <f t="shared" si="2"/>
        <v>12075.47232</v>
      </c>
      <c r="E19" s="109">
        <f t="shared" si="3"/>
        <v>7718.409188</v>
      </c>
      <c r="F19" s="117">
        <f t="shared" si="4"/>
        <v>3614923.288</v>
      </c>
    </row>
    <row r="20" ht="14.25" customHeight="1">
      <c r="A20" s="115">
        <v>19.0</v>
      </c>
      <c r="B20" s="109">
        <f t="shared" si="5"/>
        <v>3614923.288</v>
      </c>
      <c r="C20" s="109">
        <f t="shared" si="1"/>
        <v>19793.88151</v>
      </c>
      <c r="D20" s="109">
        <f t="shared" si="2"/>
        <v>12049.74429</v>
      </c>
      <c r="E20" s="109">
        <f t="shared" si="3"/>
        <v>7744.137219</v>
      </c>
      <c r="F20" s="117">
        <f t="shared" si="4"/>
        <v>3607179.15</v>
      </c>
    </row>
    <row r="21" ht="14.25" customHeight="1">
      <c r="A21" s="115">
        <v>20.0</v>
      </c>
      <c r="B21" s="109">
        <f t="shared" si="5"/>
        <v>3607179.15</v>
      </c>
      <c r="C21" s="109">
        <f t="shared" si="1"/>
        <v>19793.88151</v>
      </c>
      <c r="D21" s="109">
        <f t="shared" si="2"/>
        <v>12023.9305</v>
      </c>
      <c r="E21" s="109">
        <f t="shared" si="3"/>
        <v>7769.95101</v>
      </c>
      <c r="F21" s="117">
        <f t="shared" si="4"/>
        <v>3599409.199</v>
      </c>
    </row>
    <row r="22" ht="14.25" customHeight="1">
      <c r="A22" s="115">
        <v>21.0</v>
      </c>
      <c r="B22" s="109">
        <f t="shared" si="5"/>
        <v>3599409.199</v>
      </c>
      <c r="C22" s="109">
        <f t="shared" si="1"/>
        <v>19793.88151</v>
      </c>
      <c r="D22" s="109">
        <f t="shared" si="2"/>
        <v>11998.03066</v>
      </c>
      <c r="E22" s="109">
        <f t="shared" si="3"/>
        <v>7795.850847</v>
      </c>
      <c r="F22" s="117">
        <f t="shared" si="4"/>
        <v>3591613.349</v>
      </c>
    </row>
    <row r="23" ht="14.25" customHeight="1">
      <c r="A23" s="115">
        <v>22.0</v>
      </c>
      <c r="B23" s="109">
        <f t="shared" si="5"/>
        <v>3591613.349</v>
      </c>
      <c r="C23" s="109">
        <f t="shared" si="1"/>
        <v>19793.88151</v>
      </c>
      <c r="D23" s="109">
        <f t="shared" si="2"/>
        <v>11972.0445</v>
      </c>
      <c r="E23" s="109">
        <f t="shared" si="3"/>
        <v>7821.837016</v>
      </c>
      <c r="F23" s="117">
        <f t="shared" si="4"/>
        <v>3583791.512</v>
      </c>
    </row>
    <row r="24" ht="14.25" customHeight="1">
      <c r="A24" s="115">
        <v>23.0</v>
      </c>
      <c r="B24" s="109">
        <f t="shared" si="5"/>
        <v>3583791.512</v>
      </c>
      <c r="C24" s="109">
        <f t="shared" si="1"/>
        <v>19793.88151</v>
      </c>
      <c r="D24" s="109">
        <f t="shared" si="2"/>
        <v>11945.97171</v>
      </c>
      <c r="E24" s="109">
        <f t="shared" si="3"/>
        <v>7847.909806</v>
      </c>
      <c r="F24" s="117">
        <f t="shared" si="4"/>
        <v>3575943.602</v>
      </c>
    </row>
    <row r="25" ht="14.25" customHeight="1">
      <c r="A25" s="115">
        <v>24.0</v>
      </c>
      <c r="B25" s="109">
        <f t="shared" si="5"/>
        <v>3575943.602</v>
      </c>
      <c r="C25" s="109">
        <f t="shared" si="1"/>
        <v>19793.88151</v>
      </c>
      <c r="D25" s="109">
        <f t="shared" si="2"/>
        <v>11919.81201</v>
      </c>
      <c r="E25" s="109">
        <f t="shared" si="3"/>
        <v>7874.069505</v>
      </c>
      <c r="F25" s="117">
        <f t="shared" si="4"/>
        <v>3568069.532</v>
      </c>
    </row>
    <row r="26" ht="14.25" customHeight="1">
      <c r="A26" s="115">
        <v>25.0</v>
      </c>
      <c r="B26" s="109">
        <f t="shared" si="5"/>
        <v>3568069.532</v>
      </c>
      <c r="C26" s="109">
        <f t="shared" si="1"/>
        <v>19793.88151</v>
      </c>
      <c r="D26" s="109">
        <f>B26*0.04/12</f>
        <v>11893.56511</v>
      </c>
      <c r="E26" s="109">
        <f t="shared" si="3"/>
        <v>7900.316404</v>
      </c>
      <c r="F26" s="117">
        <f t="shared" si="4"/>
        <v>3560169.216</v>
      </c>
    </row>
    <row r="27" ht="14.25" customHeight="1">
      <c r="A27" s="115">
        <v>26.0</v>
      </c>
      <c r="B27" s="109">
        <f t="shared" si="5"/>
        <v>3560169.216</v>
      </c>
      <c r="C27" s="109">
        <f t="shared" si="1"/>
        <v>19793.88151</v>
      </c>
      <c r="D27" s="109">
        <f t="shared" ref="D27:D61" si="6">B27*4%/12</f>
        <v>11867.23072</v>
      </c>
      <c r="E27" s="109">
        <f t="shared" si="3"/>
        <v>7926.650792</v>
      </c>
      <c r="F27" s="117">
        <f t="shared" si="4"/>
        <v>3552242.565</v>
      </c>
    </row>
    <row r="28" ht="14.25" customHeight="1">
      <c r="A28" s="115">
        <v>27.0</v>
      </c>
      <c r="B28" s="109">
        <f t="shared" si="5"/>
        <v>3552242.565</v>
      </c>
      <c r="C28" s="109">
        <f t="shared" si="1"/>
        <v>19793.88151</v>
      </c>
      <c r="D28" s="109">
        <f t="shared" si="6"/>
        <v>11840.80855</v>
      </c>
      <c r="E28" s="109">
        <f t="shared" si="3"/>
        <v>7953.072961</v>
      </c>
      <c r="F28" s="117">
        <f t="shared" si="4"/>
        <v>3544289.492</v>
      </c>
    </row>
    <row r="29" ht="14.25" customHeight="1">
      <c r="A29" s="115">
        <v>28.0</v>
      </c>
      <c r="B29" s="109">
        <f t="shared" si="5"/>
        <v>3544289.492</v>
      </c>
      <c r="C29" s="109">
        <f t="shared" si="1"/>
        <v>19793.88151</v>
      </c>
      <c r="D29" s="109">
        <f t="shared" si="6"/>
        <v>11814.29831</v>
      </c>
      <c r="E29" s="109">
        <f t="shared" si="3"/>
        <v>7979.583204</v>
      </c>
      <c r="F29" s="117">
        <f t="shared" si="4"/>
        <v>3536309.909</v>
      </c>
    </row>
    <row r="30" ht="14.25" customHeight="1">
      <c r="A30" s="115">
        <v>29.0</v>
      </c>
      <c r="B30" s="109">
        <f t="shared" si="5"/>
        <v>3536309.909</v>
      </c>
      <c r="C30" s="109">
        <f t="shared" si="1"/>
        <v>19793.88151</v>
      </c>
      <c r="D30" s="109">
        <f t="shared" si="6"/>
        <v>11787.6997</v>
      </c>
      <c r="E30" s="109">
        <f t="shared" si="3"/>
        <v>8006.181815</v>
      </c>
      <c r="F30" s="117">
        <f t="shared" si="4"/>
        <v>3528303.727</v>
      </c>
    </row>
    <row r="31" ht="14.25" customHeight="1">
      <c r="A31" s="115">
        <v>30.0</v>
      </c>
      <c r="B31" s="109">
        <f t="shared" si="5"/>
        <v>3528303.727</v>
      </c>
      <c r="C31" s="109">
        <f t="shared" si="1"/>
        <v>19793.88151</v>
      </c>
      <c r="D31" s="109">
        <f t="shared" si="6"/>
        <v>11761.01242</v>
      </c>
      <c r="E31" s="109">
        <f t="shared" si="3"/>
        <v>8032.869088</v>
      </c>
      <c r="F31" s="117">
        <f t="shared" si="4"/>
        <v>3520270.858</v>
      </c>
    </row>
    <row r="32" ht="14.25" customHeight="1">
      <c r="A32" s="115">
        <v>31.0</v>
      </c>
      <c r="B32" s="109">
        <f t="shared" si="5"/>
        <v>3520270.858</v>
      </c>
      <c r="C32" s="109">
        <f t="shared" si="1"/>
        <v>19793.88151</v>
      </c>
      <c r="D32" s="109">
        <f t="shared" si="6"/>
        <v>11734.23619</v>
      </c>
      <c r="E32" s="109">
        <f t="shared" si="3"/>
        <v>8059.645318</v>
      </c>
      <c r="F32" s="117">
        <f t="shared" si="4"/>
        <v>3512211.213</v>
      </c>
    </row>
    <row r="33" ht="14.25" customHeight="1">
      <c r="A33" s="115">
        <v>32.0</v>
      </c>
      <c r="B33" s="109">
        <f t="shared" si="5"/>
        <v>3512211.213</v>
      </c>
      <c r="C33" s="109">
        <f t="shared" si="1"/>
        <v>19793.88151</v>
      </c>
      <c r="D33" s="109">
        <f t="shared" si="6"/>
        <v>11707.37071</v>
      </c>
      <c r="E33" s="109">
        <f t="shared" si="3"/>
        <v>8086.510802</v>
      </c>
      <c r="F33" s="117">
        <f t="shared" si="4"/>
        <v>3504124.702</v>
      </c>
    </row>
    <row r="34" ht="14.25" customHeight="1">
      <c r="A34" s="115">
        <v>33.0</v>
      </c>
      <c r="B34" s="109">
        <f t="shared" si="5"/>
        <v>3504124.702</v>
      </c>
      <c r="C34" s="109">
        <f t="shared" si="1"/>
        <v>19793.88151</v>
      </c>
      <c r="D34" s="109">
        <f t="shared" si="6"/>
        <v>11680.41567</v>
      </c>
      <c r="E34" s="109">
        <f t="shared" si="3"/>
        <v>8113.465838</v>
      </c>
      <c r="F34" s="117">
        <f t="shared" si="4"/>
        <v>3496011.236</v>
      </c>
    </row>
    <row r="35" ht="14.25" customHeight="1">
      <c r="A35" s="115">
        <v>34.0</v>
      </c>
      <c r="B35" s="109">
        <f t="shared" si="5"/>
        <v>3496011.236</v>
      </c>
      <c r="C35" s="109">
        <f t="shared" si="1"/>
        <v>19793.88151</v>
      </c>
      <c r="D35" s="109">
        <f t="shared" si="6"/>
        <v>11653.37079</v>
      </c>
      <c r="E35" s="109">
        <f t="shared" si="3"/>
        <v>8140.510725</v>
      </c>
      <c r="F35" s="117">
        <f t="shared" si="4"/>
        <v>3487870.725</v>
      </c>
    </row>
    <row r="36" ht="14.25" customHeight="1">
      <c r="A36" s="115">
        <v>35.0</v>
      </c>
      <c r="B36" s="109">
        <f t="shared" si="5"/>
        <v>3487870.725</v>
      </c>
      <c r="C36" s="109">
        <f t="shared" si="1"/>
        <v>19793.88151</v>
      </c>
      <c r="D36" s="109">
        <f t="shared" si="6"/>
        <v>11626.23575</v>
      </c>
      <c r="E36" s="109">
        <f t="shared" si="3"/>
        <v>8167.64576</v>
      </c>
      <c r="F36" s="117">
        <f t="shared" si="4"/>
        <v>3479703.08</v>
      </c>
    </row>
    <row r="37" ht="14.25" customHeight="1">
      <c r="A37" s="115">
        <v>36.0</v>
      </c>
      <c r="B37" s="109">
        <f t="shared" si="5"/>
        <v>3479703.08</v>
      </c>
      <c r="C37" s="109">
        <f t="shared" si="1"/>
        <v>19793.88151</v>
      </c>
      <c r="D37" s="109">
        <f t="shared" si="6"/>
        <v>11599.01027</v>
      </c>
      <c r="E37" s="109">
        <f t="shared" si="3"/>
        <v>8194.871246</v>
      </c>
      <c r="F37" s="117">
        <f t="shared" si="4"/>
        <v>3471508.208</v>
      </c>
    </row>
    <row r="38" ht="14.25" customHeight="1">
      <c r="A38" s="115">
        <v>37.0</v>
      </c>
      <c r="B38" s="109">
        <f t="shared" si="5"/>
        <v>3471508.208</v>
      </c>
      <c r="C38" s="109">
        <f t="shared" si="1"/>
        <v>19793.88151</v>
      </c>
      <c r="D38" s="109">
        <f t="shared" si="6"/>
        <v>11571.69403</v>
      </c>
      <c r="E38" s="109">
        <f t="shared" si="3"/>
        <v>8222.187484</v>
      </c>
      <c r="F38" s="117">
        <f t="shared" si="4"/>
        <v>3463286.021</v>
      </c>
    </row>
    <row r="39" ht="14.25" customHeight="1">
      <c r="A39" s="115">
        <v>38.0</v>
      </c>
      <c r="B39" s="109">
        <f t="shared" si="5"/>
        <v>3463286.021</v>
      </c>
      <c r="C39" s="109">
        <f t="shared" si="1"/>
        <v>19793.88151</v>
      </c>
      <c r="D39" s="109">
        <f t="shared" si="6"/>
        <v>11544.28674</v>
      </c>
      <c r="E39" s="109">
        <f t="shared" si="3"/>
        <v>8249.594775</v>
      </c>
      <c r="F39" s="117">
        <f t="shared" si="4"/>
        <v>3455036.426</v>
      </c>
    </row>
    <row r="40" ht="14.25" customHeight="1">
      <c r="A40" s="115">
        <v>39.0</v>
      </c>
      <c r="B40" s="109">
        <f t="shared" si="5"/>
        <v>3455036.426</v>
      </c>
      <c r="C40" s="109">
        <f t="shared" si="1"/>
        <v>19793.88151</v>
      </c>
      <c r="D40" s="109">
        <f t="shared" si="6"/>
        <v>11516.78809</v>
      </c>
      <c r="E40" s="109">
        <f t="shared" si="3"/>
        <v>8277.093424</v>
      </c>
      <c r="F40" s="117">
        <f t="shared" si="4"/>
        <v>3446759.333</v>
      </c>
    </row>
    <row r="41" ht="14.25" customHeight="1">
      <c r="A41" s="115">
        <v>40.0</v>
      </c>
      <c r="B41" s="109">
        <f t="shared" si="5"/>
        <v>3446759.333</v>
      </c>
      <c r="C41" s="109">
        <f t="shared" si="1"/>
        <v>19793.88151</v>
      </c>
      <c r="D41" s="109">
        <f t="shared" si="6"/>
        <v>11489.19778</v>
      </c>
      <c r="E41" s="109">
        <f t="shared" si="3"/>
        <v>8304.683736</v>
      </c>
      <c r="F41" s="117">
        <f t="shared" si="4"/>
        <v>3438454.649</v>
      </c>
    </row>
    <row r="42" ht="14.25" customHeight="1">
      <c r="A42" s="115">
        <v>41.0</v>
      </c>
      <c r="B42" s="109">
        <f t="shared" si="5"/>
        <v>3438454.649</v>
      </c>
      <c r="C42" s="109">
        <f t="shared" si="1"/>
        <v>19793.88151</v>
      </c>
      <c r="D42" s="109">
        <f t="shared" si="6"/>
        <v>11461.5155</v>
      </c>
      <c r="E42" s="109">
        <f t="shared" si="3"/>
        <v>8332.366015</v>
      </c>
      <c r="F42" s="117">
        <f t="shared" si="4"/>
        <v>3430122.283</v>
      </c>
    </row>
    <row r="43" ht="14.25" customHeight="1">
      <c r="A43" s="115">
        <v>42.0</v>
      </c>
      <c r="B43" s="109">
        <f t="shared" si="5"/>
        <v>3430122.283</v>
      </c>
      <c r="C43" s="109">
        <f t="shared" si="1"/>
        <v>19793.88151</v>
      </c>
      <c r="D43" s="109">
        <f t="shared" si="6"/>
        <v>11433.74094</v>
      </c>
      <c r="E43" s="109">
        <f t="shared" si="3"/>
        <v>8360.140568</v>
      </c>
      <c r="F43" s="117">
        <f t="shared" si="4"/>
        <v>3421762.142</v>
      </c>
    </row>
    <row r="44" ht="14.25" customHeight="1">
      <c r="A44" s="115">
        <v>43.0</v>
      </c>
      <c r="B44" s="109">
        <f t="shared" si="5"/>
        <v>3421762.142</v>
      </c>
      <c r="C44" s="109">
        <f t="shared" si="1"/>
        <v>19793.88151</v>
      </c>
      <c r="D44" s="109">
        <f t="shared" si="6"/>
        <v>11405.87381</v>
      </c>
      <c r="E44" s="109">
        <f t="shared" si="3"/>
        <v>8388.007704</v>
      </c>
      <c r="F44" s="117">
        <f t="shared" si="4"/>
        <v>3413374.135</v>
      </c>
    </row>
    <row r="45" ht="14.25" customHeight="1">
      <c r="A45" s="115">
        <v>44.0</v>
      </c>
      <c r="B45" s="109">
        <f t="shared" si="5"/>
        <v>3413374.135</v>
      </c>
      <c r="C45" s="109">
        <f t="shared" si="1"/>
        <v>19793.88151</v>
      </c>
      <c r="D45" s="109">
        <f t="shared" si="6"/>
        <v>11377.91378</v>
      </c>
      <c r="E45" s="109">
        <f t="shared" si="3"/>
        <v>8415.967729</v>
      </c>
      <c r="F45" s="117">
        <f t="shared" si="4"/>
        <v>3404958.167</v>
      </c>
    </row>
    <row r="46" ht="14.25" customHeight="1">
      <c r="A46" s="115">
        <v>45.0</v>
      </c>
      <c r="B46" s="109">
        <f t="shared" si="5"/>
        <v>3404958.167</v>
      </c>
      <c r="C46" s="109">
        <f t="shared" si="1"/>
        <v>19793.88151</v>
      </c>
      <c r="D46" s="109">
        <f t="shared" si="6"/>
        <v>11349.86056</v>
      </c>
      <c r="E46" s="109">
        <f t="shared" si="3"/>
        <v>8444.020955</v>
      </c>
      <c r="F46" s="117">
        <f t="shared" si="4"/>
        <v>3396514.146</v>
      </c>
    </row>
    <row r="47" ht="14.25" customHeight="1">
      <c r="A47" s="115">
        <v>46.0</v>
      </c>
      <c r="B47" s="109">
        <f t="shared" si="5"/>
        <v>3396514.146</v>
      </c>
      <c r="C47" s="109">
        <f t="shared" si="1"/>
        <v>19793.88151</v>
      </c>
      <c r="D47" s="109">
        <f t="shared" si="6"/>
        <v>11321.71382</v>
      </c>
      <c r="E47" s="109">
        <f t="shared" si="3"/>
        <v>8472.167692</v>
      </c>
      <c r="F47" s="117">
        <f t="shared" si="4"/>
        <v>3388041.978</v>
      </c>
    </row>
    <row r="48" ht="14.25" customHeight="1">
      <c r="A48" s="115">
        <v>47.0</v>
      </c>
      <c r="B48" s="109">
        <f t="shared" si="5"/>
        <v>3388041.978</v>
      </c>
      <c r="C48" s="109">
        <f t="shared" si="1"/>
        <v>19793.88151</v>
      </c>
      <c r="D48" s="109">
        <f t="shared" si="6"/>
        <v>11293.47326</v>
      </c>
      <c r="E48" s="109">
        <f t="shared" si="3"/>
        <v>8500.408251</v>
      </c>
      <c r="F48" s="117">
        <f t="shared" si="4"/>
        <v>3379541.57</v>
      </c>
    </row>
    <row r="49" ht="14.25" customHeight="1">
      <c r="A49" s="115">
        <v>48.0</v>
      </c>
      <c r="B49" s="109">
        <f t="shared" si="5"/>
        <v>3379541.57</v>
      </c>
      <c r="C49" s="109">
        <f t="shared" si="1"/>
        <v>19793.88151</v>
      </c>
      <c r="D49" s="109">
        <f t="shared" si="6"/>
        <v>11265.13857</v>
      </c>
      <c r="E49" s="109">
        <f t="shared" si="3"/>
        <v>8528.742945</v>
      </c>
      <c r="F49" s="117">
        <f t="shared" si="4"/>
        <v>3371012.827</v>
      </c>
    </row>
    <row r="50" ht="14.25" customHeight="1">
      <c r="A50" s="115">
        <v>49.0</v>
      </c>
      <c r="B50" s="109">
        <f t="shared" si="5"/>
        <v>3371012.827</v>
      </c>
      <c r="C50" s="109">
        <f t="shared" si="1"/>
        <v>19793.88151</v>
      </c>
      <c r="D50" s="109">
        <f t="shared" si="6"/>
        <v>11236.70942</v>
      </c>
      <c r="E50" s="109">
        <f t="shared" si="3"/>
        <v>8557.172088</v>
      </c>
      <c r="F50" s="117">
        <f t="shared" si="4"/>
        <v>3362455.655</v>
      </c>
    </row>
    <row r="51" ht="14.25" customHeight="1">
      <c r="A51" s="115">
        <v>50.0</v>
      </c>
      <c r="B51" s="109">
        <f t="shared" si="5"/>
        <v>3362455.655</v>
      </c>
      <c r="C51" s="109">
        <f t="shared" si="1"/>
        <v>19793.88151</v>
      </c>
      <c r="D51" s="109">
        <f t="shared" si="6"/>
        <v>11208.18552</v>
      </c>
      <c r="E51" s="109">
        <f t="shared" si="3"/>
        <v>8585.695995</v>
      </c>
      <c r="F51" s="117">
        <f t="shared" si="4"/>
        <v>3353869.959</v>
      </c>
    </row>
    <row r="52" ht="14.25" customHeight="1">
      <c r="A52" s="115">
        <v>51.0</v>
      </c>
      <c r="B52" s="109">
        <f t="shared" si="5"/>
        <v>3353869.959</v>
      </c>
      <c r="C52" s="109">
        <f t="shared" si="1"/>
        <v>19793.88151</v>
      </c>
      <c r="D52" s="109">
        <f t="shared" si="6"/>
        <v>11179.56653</v>
      </c>
      <c r="E52" s="109">
        <f t="shared" si="3"/>
        <v>8614.314981</v>
      </c>
      <c r="F52" s="117">
        <f t="shared" si="4"/>
        <v>3345255.644</v>
      </c>
    </row>
    <row r="53" ht="14.25" customHeight="1">
      <c r="A53" s="115">
        <v>52.0</v>
      </c>
      <c r="B53" s="109">
        <f t="shared" si="5"/>
        <v>3345255.644</v>
      </c>
      <c r="C53" s="109">
        <f t="shared" si="1"/>
        <v>19793.88151</v>
      </c>
      <c r="D53" s="109">
        <f t="shared" si="6"/>
        <v>11150.85215</v>
      </c>
      <c r="E53" s="109">
        <f t="shared" si="3"/>
        <v>8643.029365</v>
      </c>
      <c r="F53" s="117">
        <f t="shared" si="4"/>
        <v>3336612.615</v>
      </c>
    </row>
    <row r="54" ht="14.25" customHeight="1">
      <c r="A54" s="115">
        <v>53.0</v>
      </c>
      <c r="B54" s="109">
        <f t="shared" si="5"/>
        <v>3336612.615</v>
      </c>
      <c r="C54" s="109">
        <f t="shared" si="1"/>
        <v>19793.88151</v>
      </c>
      <c r="D54" s="109">
        <f t="shared" si="6"/>
        <v>11122.04205</v>
      </c>
      <c r="E54" s="109">
        <f t="shared" si="3"/>
        <v>8671.839463</v>
      </c>
      <c r="F54" s="117">
        <f t="shared" si="4"/>
        <v>3327940.775</v>
      </c>
    </row>
    <row r="55" ht="14.25" customHeight="1">
      <c r="A55" s="115">
        <v>54.0</v>
      </c>
      <c r="B55" s="109">
        <f t="shared" si="5"/>
        <v>3327940.775</v>
      </c>
      <c r="C55" s="109">
        <f t="shared" si="1"/>
        <v>19793.88151</v>
      </c>
      <c r="D55" s="109">
        <f t="shared" si="6"/>
        <v>11093.13592</v>
      </c>
      <c r="E55" s="109">
        <f t="shared" si="3"/>
        <v>8700.745594</v>
      </c>
      <c r="F55" s="117">
        <f t="shared" si="4"/>
        <v>3319240.03</v>
      </c>
    </row>
    <row r="56" ht="14.25" customHeight="1">
      <c r="A56" s="115">
        <v>55.0</v>
      </c>
      <c r="B56" s="109">
        <f t="shared" si="5"/>
        <v>3319240.03</v>
      </c>
      <c r="C56" s="109">
        <f t="shared" si="1"/>
        <v>19793.88151</v>
      </c>
      <c r="D56" s="109">
        <f t="shared" si="6"/>
        <v>11064.13343</v>
      </c>
      <c r="E56" s="109">
        <f t="shared" si="3"/>
        <v>8729.748079</v>
      </c>
      <c r="F56" s="117">
        <f t="shared" si="4"/>
        <v>3310510.281</v>
      </c>
    </row>
    <row r="57" ht="14.25" customHeight="1">
      <c r="A57" s="115">
        <v>56.0</v>
      </c>
      <c r="B57" s="109">
        <f t="shared" si="5"/>
        <v>3310510.281</v>
      </c>
      <c r="C57" s="109">
        <f t="shared" si="1"/>
        <v>19793.88151</v>
      </c>
      <c r="D57" s="109">
        <f t="shared" si="6"/>
        <v>11035.03427</v>
      </c>
      <c r="E57" s="109">
        <f t="shared" si="3"/>
        <v>8758.84724</v>
      </c>
      <c r="F57" s="117">
        <f t="shared" si="4"/>
        <v>3301751.434</v>
      </c>
    </row>
    <row r="58" ht="14.25" customHeight="1">
      <c r="A58" s="115">
        <v>57.0</v>
      </c>
      <c r="B58" s="109">
        <f t="shared" si="5"/>
        <v>3301751.434</v>
      </c>
      <c r="C58" s="109">
        <f t="shared" si="1"/>
        <v>19793.88151</v>
      </c>
      <c r="D58" s="109">
        <f t="shared" si="6"/>
        <v>11005.83811</v>
      </c>
      <c r="E58" s="109">
        <f t="shared" si="3"/>
        <v>8788.043397</v>
      </c>
      <c r="F58" s="117">
        <f t="shared" si="4"/>
        <v>3292963.391</v>
      </c>
    </row>
    <row r="59" ht="14.25" customHeight="1">
      <c r="A59" s="115">
        <v>58.0</v>
      </c>
      <c r="B59" s="109">
        <f t="shared" si="5"/>
        <v>3292963.391</v>
      </c>
      <c r="C59" s="109">
        <f t="shared" si="1"/>
        <v>19793.88151</v>
      </c>
      <c r="D59" s="109">
        <f t="shared" si="6"/>
        <v>10976.54464</v>
      </c>
      <c r="E59" s="109">
        <f t="shared" si="3"/>
        <v>8817.336875</v>
      </c>
      <c r="F59" s="117">
        <f t="shared" si="4"/>
        <v>3284146.054</v>
      </c>
    </row>
    <row r="60" ht="14.25" customHeight="1">
      <c r="A60" s="115">
        <v>59.0</v>
      </c>
      <c r="B60" s="109">
        <f t="shared" si="5"/>
        <v>3284146.054</v>
      </c>
      <c r="C60" s="109">
        <f t="shared" si="1"/>
        <v>19793.88151</v>
      </c>
      <c r="D60" s="109">
        <f t="shared" si="6"/>
        <v>10947.15351</v>
      </c>
      <c r="E60" s="109">
        <f t="shared" si="3"/>
        <v>8846.727998</v>
      </c>
      <c r="F60" s="117">
        <f t="shared" si="4"/>
        <v>3275299.326</v>
      </c>
    </row>
    <row r="61" ht="14.25" customHeight="1">
      <c r="A61" s="118">
        <v>60.0</v>
      </c>
      <c r="B61" s="119">
        <f t="shared" si="5"/>
        <v>3275299.326</v>
      </c>
      <c r="C61" s="119">
        <f t="shared" si="1"/>
        <v>19793.88151</v>
      </c>
      <c r="D61" s="119">
        <f t="shared" si="6"/>
        <v>10917.66442</v>
      </c>
      <c r="E61" s="119">
        <f t="shared" si="3"/>
        <v>8876.217091</v>
      </c>
      <c r="F61" s="120">
        <f t="shared" si="4"/>
        <v>3266423.109</v>
      </c>
    </row>
    <row r="62" ht="14.25" customHeight="1">
      <c r="A62" s="121" t="s">
        <v>48</v>
      </c>
      <c r="B62" s="122"/>
      <c r="C62" s="122">
        <f>SUM(C2:C61)</f>
        <v>1187632.891</v>
      </c>
      <c r="D62" s="122"/>
      <c r="E62" s="122">
        <f>SUM(E2:E61)</f>
        <v>483576.8912</v>
      </c>
      <c r="F62" s="123"/>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c r="C380" s="124"/>
    </row>
    <row r="381" ht="15.75" customHeight="1">
      <c r="C381" s="125"/>
    </row>
    <row r="382" ht="15.75" customHeight="1">
      <c r="C382" s="125"/>
    </row>
    <row r="383" ht="15.75" customHeight="1">
      <c r="C383" s="125"/>
    </row>
    <row r="384" ht="15.75" customHeight="1">
      <c r="C384" s="125"/>
    </row>
    <row r="385" ht="15.75" customHeight="1">
      <c r="C385" s="125"/>
    </row>
    <row r="386" ht="15.75" customHeight="1">
      <c r="C386" s="125"/>
    </row>
    <row r="387" ht="15.75" customHeight="1">
      <c r="C387" s="125"/>
    </row>
    <row r="388" ht="15.75" customHeight="1">
      <c r="C388" s="125"/>
    </row>
    <row r="389" ht="15.75" customHeight="1">
      <c r="C389" s="125"/>
    </row>
    <row r="390" ht="15.75" customHeight="1">
      <c r="C390" s="125"/>
    </row>
    <row r="391" ht="15.75" customHeight="1">
      <c r="C391" s="125"/>
    </row>
    <row r="392" ht="15.75" customHeight="1">
      <c r="C392" s="125"/>
    </row>
    <row r="393" ht="15.75" customHeight="1">
      <c r="C393" s="125"/>
    </row>
    <row r="394" ht="15.75" customHeight="1">
      <c r="C394" s="125"/>
    </row>
    <row r="395" ht="15.75" customHeight="1">
      <c r="C395" s="125"/>
    </row>
    <row r="396" ht="15.75" customHeight="1">
      <c r="C396" s="125"/>
    </row>
    <row r="397" ht="15.75" customHeight="1">
      <c r="C397" s="125"/>
    </row>
    <row r="398" ht="15.75" customHeight="1">
      <c r="C398" s="125"/>
    </row>
    <row r="399" ht="15.75" customHeight="1">
      <c r="C399" s="125"/>
    </row>
    <row r="400" ht="15.75" customHeight="1">
      <c r="C400" s="125"/>
    </row>
    <row r="401" ht="15.75" customHeight="1">
      <c r="C401" s="125"/>
    </row>
    <row r="402" ht="15.75" customHeight="1">
      <c r="C402" s="125"/>
    </row>
    <row r="403" ht="15.75" customHeight="1">
      <c r="C403" s="125"/>
    </row>
    <row r="404" ht="15.75" customHeight="1">
      <c r="C404" s="125"/>
    </row>
    <row r="405" ht="15.75" customHeight="1">
      <c r="C405" s="125"/>
    </row>
    <row r="406" ht="15.75" customHeight="1">
      <c r="C406" s="125"/>
    </row>
    <row r="407" ht="15.75" customHeight="1">
      <c r="C407" s="125"/>
    </row>
    <row r="408" ht="15.75" customHeight="1">
      <c r="C408" s="125"/>
    </row>
    <row r="409" ht="15.75" customHeight="1">
      <c r="C409" s="125"/>
    </row>
    <row r="410" ht="15.75" customHeight="1">
      <c r="C410" s="125"/>
    </row>
    <row r="411" ht="15.75" customHeight="1">
      <c r="C411" s="125"/>
    </row>
    <row r="412" ht="15.75" customHeight="1">
      <c r="C412" s="125"/>
    </row>
    <row r="413" ht="15.75" customHeight="1">
      <c r="C413" s="125"/>
    </row>
    <row r="414" ht="15.75" customHeight="1">
      <c r="C414" s="125"/>
    </row>
    <row r="415" ht="15.75" customHeight="1">
      <c r="C415" s="125"/>
    </row>
    <row r="416" ht="15.75" customHeight="1">
      <c r="C416" s="125"/>
    </row>
    <row r="417" ht="15.75" customHeight="1">
      <c r="C417" s="125"/>
    </row>
    <row r="418" ht="15.75" customHeight="1">
      <c r="C418" s="125"/>
    </row>
    <row r="419" ht="15.75" customHeight="1">
      <c r="C419" s="125"/>
    </row>
    <row r="420" ht="15.75" customHeight="1">
      <c r="C420" s="125"/>
    </row>
    <row r="421" ht="15.75" customHeight="1">
      <c r="C421" s="125"/>
    </row>
    <row r="422" ht="15.75" customHeight="1">
      <c r="C422" s="125"/>
    </row>
    <row r="423" ht="15.75" customHeight="1">
      <c r="C423" s="125"/>
    </row>
    <row r="424" ht="15.75" customHeight="1">
      <c r="C424" s="125"/>
    </row>
    <row r="425" ht="15.75" customHeight="1">
      <c r="C425" s="125"/>
    </row>
    <row r="426" ht="15.75" customHeight="1">
      <c r="C426" s="125"/>
    </row>
    <row r="427" ht="15.75" customHeight="1">
      <c r="C427" s="125"/>
    </row>
    <row r="428" ht="15.75" customHeight="1">
      <c r="C428" s="125"/>
    </row>
    <row r="429" ht="15.75" customHeight="1">
      <c r="C429" s="125"/>
    </row>
    <row r="430" ht="15.75" customHeight="1">
      <c r="C430" s="125"/>
    </row>
    <row r="431" ht="15.75" customHeight="1">
      <c r="C431" s="125"/>
    </row>
    <row r="432" ht="15.75" customHeight="1">
      <c r="C432" s="125"/>
    </row>
    <row r="433" ht="15.75" customHeight="1">
      <c r="C433" s="125"/>
    </row>
    <row r="434" ht="15.75" customHeight="1">
      <c r="C434" s="125"/>
    </row>
    <row r="435" ht="15.75" customHeight="1">
      <c r="C435" s="125"/>
    </row>
    <row r="436" ht="15.75" customHeight="1">
      <c r="C436" s="125"/>
    </row>
    <row r="437" ht="15.75" customHeight="1">
      <c r="C437" s="125"/>
    </row>
    <row r="438" ht="15.75" customHeight="1">
      <c r="C438" s="125"/>
    </row>
    <row r="439" ht="15.75" customHeight="1">
      <c r="C439" s="125"/>
    </row>
    <row r="440" ht="15.75" customHeight="1">
      <c r="C440" s="125"/>
    </row>
    <row r="441" ht="15.75" customHeight="1">
      <c r="C441" s="125"/>
    </row>
    <row r="442" ht="15.75" customHeight="1">
      <c r="C442" s="125"/>
    </row>
    <row r="443" ht="15.75" customHeight="1">
      <c r="C443" s="125"/>
    </row>
    <row r="444" ht="15.75" customHeight="1">
      <c r="C444" s="125"/>
    </row>
    <row r="445" ht="15.75" customHeight="1">
      <c r="C445" s="125"/>
    </row>
    <row r="446" ht="15.75" customHeight="1">
      <c r="C446" s="125"/>
    </row>
    <row r="447" ht="15.75" customHeight="1">
      <c r="C447" s="125"/>
    </row>
    <row r="448" ht="15.75" customHeight="1">
      <c r="C448" s="125"/>
    </row>
    <row r="449" ht="15.75" customHeight="1">
      <c r="C449" s="125"/>
    </row>
    <row r="450" ht="15.75" customHeight="1">
      <c r="C450" s="125"/>
    </row>
    <row r="451" ht="15.75" customHeight="1">
      <c r="C451" s="125"/>
    </row>
    <row r="452" ht="15.75" customHeight="1">
      <c r="C452" s="125"/>
    </row>
    <row r="453" ht="15.75" customHeight="1">
      <c r="C453" s="125"/>
    </row>
    <row r="454" ht="15.75" customHeight="1">
      <c r="C454" s="125"/>
    </row>
    <row r="455" ht="15.75" customHeight="1">
      <c r="C455" s="125"/>
    </row>
    <row r="456" ht="15.75" customHeight="1">
      <c r="C456" s="125"/>
    </row>
    <row r="457" ht="15.75" customHeight="1">
      <c r="C457" s="125"/>
    </row>
    <row r="458" ht="15.75" customHeight="1">
      <c r="C458" s="125"/>
    </row>
    <row r="459" ht="15.75" customHeight="1">
      <c r="C459" s="125"/>
    </row>
    <row r="460" ht="15.75" customHeight="1">
      <c r="C460" s="125"/>
    </row>
    <row r="461" ht="15.75" customHeight="1">
      <c r="C461" s="125"/>
    </row>
    <row r="462" ht="15.75" customHeight="1">
      <c r="C462" s="125"/>
    </row>
    <row r="463" ht="15.75" customHeight="1">
      <c r="C463" s="125"/>
    </row>
    <row r="464" ht="15.75" customHeight="1">
      <c r="C464" s="125"/>
    </row>
    <row r="465" ht="15.75" customHeight="1">
      <c r="C465" s="125"/>
    </row>
    <row r="466" ht="15.75" customHeight="1">
      <c r="C466" s="125"/>
    </row>
    <row r="467" ht="15.75" customHeight="1">
      <c r="C467" s="125"/>
    </row>
    <row r="468" ht="15.75" customHeight="1">
      <c r="C468" s="125"/>
    </row>
    <row r="469" ht="15.75" customHeight="1">
      <c r="C469" s="125"/>
    </row>
    <row r="470" ht="15.75" customHeight="1">
      <c r="C470" s="125"/>
    </row>
    <row r="471" ht="15.75" customHeight="1">
      <c r="C471" s="125"/>
    </row>
    <row r="472" ht="15.75" customHeight="1">
      <c r="C472" s="125"/>
    </row>
    <row r="473" ht="15.75" customHeight="1">
      <c r="C473" s="125"/>
    </row>
    <row r="474" ht="15.75" customHeight="1">
      <c r="C474" s="125"/>
    </row>
    <row r="475" ht="15.75" customHeight="1">
      <c r="C475" s="125"/>
    </row>
    <row r="476" ht="15.75" customHeight="1">
      <c r="C476" s="125"/>
    </row>
    <row r="477" ht="15.75" customHeight="1">
      <c r="C477" s="125"/>
    </row>
    <row r="478" ht="15.75" customHeight="1">
      <c r="C478" s="125"/>
    </row>
    <row r="479" ht="15.75" customHeight="1">
      <c r="C479" s="125"/>
    </row>
    <row r="480" ht="15.75" customHeight="1">
      <c r="C480" s="125"/>
    </row>
    <row r="481" ht="15.75" customHeight="1">
      <c r="C481" s="125"/>
    </row>
    <row r="482" ht="15.75" customHeight="1">
      <c r="C482" s="125"/>
    </row>
    <row r="483" ht="15.75" customHeight="1">
      <c r="C483" s="125"/>
    </row>
    <row r="484" ht="15.75" customHeight="1">
      <c r="C484" s="125"/>
    </row>
    <row r="485" ht="15.75" customHeight="1">
      <c r="C485" s="125"/>
    </row>
    <row r="486" ht="15.75" customHeight="1">
      <c r="C486" s="125"/>
    </row>
    <row r="487" ht="15.75" customHeight="1">
      <c r="C487" s="125"/>
    </row>
    <row r="488" ht="15.75" customHeight="1">
      <c r="C488" s="125"/>
    </row>
    <row r="489" ht="15.75" customHeight="1">
      <c r="C489" s="125"/>
    </row>
    <row r="490" ht="15.75" customHeight="1">
      <c r="C490" s="125"/>
    </row>
    <row r="491" ht="15.75" customHeight="1">
      <c r="C491" s="125"/>
    </row>
    <row r="492" ht="15.75" customHeight="1">
      <c r="C492" s="125"/>
    </row>
    <row r="493" ht="15.75" customHeight="1">
      <c r="C493" s="125"/>
    </row>
    <row r="494" ht="15.75" customHeight="1">
      <c r="C494" s="125"/>
    </row>
    <row r="495" ht="15.75" customHeight="1">
      <c r="C495" s="125"/>
    </row>
    <row r="496" ht="15.75" customHeight="1">
      <c r="C496" s="125"/>
    </row>
    <row r="497" ht="15.75" customHeight="1">
      <c r="C497" s="125"/>
    </row>
    <row r="498" ht="15.75" customHeight="1">
      <c r="C498" s="125"/>
    </row>
    <row r="499" ht="15.75" customHeight="1">
      <c r="C499" s="125"/>
    </row>
    <row r="500" ht="15.75" customHeight="1">
      <c r="C500" s="125"/>
    </row>
    <row r="501" ht="15.75" customHeight="1">
      <c r="C501" s="125"/>
    </row>
    <row r="502" ht="15.75" customHeight="1">
      <c r="C502" s="125"/>
    </row>
    <row r="503" ht="15.75" customHeight="1">
      <c r="C503" s="125"/>
    </row>
    <row r="504" ht="15.75" customHeight="1">
      <c r="C504" s="125"/>
    </row>
    <row r="505" ht="15.75" customHeight="1">
      <c r="C505" s="125"/>
    </row>
    <row r="506" ht="15.75" customHeight="1">
      <c r="C506" s="125"/>
    </row>
    <row r="507" ht="15.75" customHeight="1">
      <c r="C507" s="125"/>
    </row>
    <row r="508" ht="15.75" customHeight="1">
      <c r="C508" s="125"/>
    </row>
    <row r="509" ht="15.75" customHeight="1">
      <c r="C509" s="125"/>
    </row>
    <row r="510" ht="15.75" customHeight="1">
      <c r="C510" s="125"/>
    </row>
    <row r="511" ht="15.75" customHeight="1">
      <c r="C511" s="125"/>
    </row>
    <row r="512" ht="15.75" customHeight="1">
      <c r="C512" s="125"/>
    </row>
    <row r="513" ht="15.75" customHeight="1">
      <c r="C513" s="125"/>
    </row>
    <row r="514" ht="15.75" customHeight="1">
      <c r="C514" s="125"/>
    </row>
    <row r="515" ht="15.75" customHeight="1">
      <c r="C515" s="125"/>
    </row>
    <row r="516" ht="15.75" customHeight="1">
      <c r="C516" s="125"/>
    </row>
    <row r="517" ht="15.75" customHeight="1">
      <c r="C517" s="125"/>
    </row>
    <row r="518" ht="15.75" customHeight="1">
      <c r="C518" s="125"/>
    </row>
    <row r="519" ht="15.75" customHeight="1">
      <c r="C519" s="125"/>
    </row>
    <row r="520" ht="15.75" customHeight="1">
      <c r="C520" s="125"/>
    </row>
    <row r="521" ht="15.75" customHeight="1">
      <c r="C521" s="125"/>
    </row>
    <row r="522" ht="15.75" customHeight="1">
      <c r="C522" s="125"/>
    </row>
    <row r="523" ht="15.75" customHeight="1">
      <c r="C523" s="125"/>
    </row>
    <row r="524" ht="15.75" customHeight="1">
      <c r="C524" s="125"/>
    </row>
    <row r="525" ht="15.75" customHeight="1">
      <c r="C525" s="125"/>
    </row>
    <row r="526" ht="15.75" customHeight="1">
      <c r="C526" s="125"/>
    </row>
    <row r="527" ht="15.75" customHeight="1">
      <c r="C527" s="125"/>
    </row>
    <row r="528" ht="15.75" customHeight="1">
      <c r="C528" s="125"/>
    </row>
    <row r="529" ht="15.75" customHeight="1">
      <c r="C529" s="125"/>
    </row>
    <row r="530" ht="15.75" customHeight="1">
      <c r="C530" s="125"/>
    </row>
    <row r="531" ht="15.75" customHeight="1">
      <c r="C531" s="125"/>
    </row>
    <row r="532" ht="15.75" customHeight="1">
      <c r="C532" s="125"/>
    </row>
    <row r="533" ht="15.75" customHeight="1">
      <c r="C533" s="125"/>
    </row>
    <row r="534" ht="15.75" customHeight="1">
      <c r="C534" s="125"/>
    </row>
    <row r="535" ht="15.75" customHeight="1">
      <c r="C535" s="125"/>
    </row>
    <row r="536" ht="15.75" customHeight="1">
      <c r="C536" s="125"/>
    </row>
    <row r="537" ht="15.75" customHeight="1">
      <c r="C537" s="125"/>
    </row>
    <row r="538" ht="15.75" customHeight="1">
      <c r="C538" s="125"/>
    </row>
    <row r="539" ht="15.75" customHeight="1">
      <c r="C539" s="125"/>
    </row>
    <row r="540" ht="15.75" customHeight="1">
      <c r="C540" s="125"/>
    </row>
    <row r="541" ht="15.75" customHeight="1">
      <c r="C541" s="125"/>
    </row>
    <row r="542" ht="15.75" customHeight="1">
      <c r="C542" s="125"/>
    </row>
    <row r="543" ht="15.75" customHeight="1">
      <c r="C543" s="125"/>
    </row>
    <row r="544" ht="15.75" customHeight="1">
      <c r="C544" s="125"/>
    </row>
    <row r="545" ht="15.75" customHeight="1">
      <c r="C545" s="125"/>
    </row>
    <row r="546" ht="15.75" customHeight="1">
      <c r="C546" s="125"/>
    </row>
    <row r="547" ht="15.75" customHeight="1">
      <c r="C547" s="125"/>
    </row>
    <row r="548" ht="15.75" customHeight="1">
      <c r="C548" s="125"/>
    </row>
    <row r="549" ht="15.75" customHeight="1">
      <c r="C549" s="125"/>
    </row>
    <row r="550" ht="15.75" customHeight="1">
      <c r="C550" s="125"/>
    </row>
    <row r="551" ht="15.75" customHeight="1">
      <c r="C551" s="125"/>
    </row>
    <row r="552" ht="15.75" customHeight="1">
      <c r="C552" s="125"/>
    </row>
    <row r="553" ht="15.75" customHeight="1">
      <c r="C553" s="125"/>
    </row>
    <row r="554" ht="15.75" customHeight="1">
      <c r="C554" s="125"/>
    </row>
    <row r="555" ht="15.75" customHeight="1">
      <c r="C555" s="125"/>
    </row>
    <row r="556" ht="15.75" customHeight="1">
      <c r="C556" s="125"/>
    </row>
    <row r="557" ht="15.75" customHeight="1">
      <c r="C557" s="125"/>
    </row>
    <row r="558" ht="15.75" customHeight="1">
      <c r="C558" s="125"/>
    </row>
    <row r="559" ht="15.75" customHeight="1">
      <c r="C559" s="125"/>
    </row>
    <row r="560" ht="15.75" customHeight="1">
      <c r="C560" s="125"/>
    </row>
    <row r="561" ht="15.75" customHeight="1">
      <c r="C561" s="125"/>
    </row>
    <row r="562" ht="15.75" customHeight="1">
      <c r="C562" s="125"/>
    </row>
    <row r="563" ht="15.75" customHeight="1">
      <c r="C563" s="125"/>
    </row>
    <row r="564" ht="15.75" customHeight="1">
      <c r="C564" s="125"/>
    </row>
    <row r="565" ht="15.75" customHeight="1">
      <c r="C565" s="125"/>
    </row>
    <row r="566" ht="15.75" customHeight="1">
      <c r="C566" s="125"/>
    </row>
    <row r="567" ht="15.75" customHeight="1">
      <c r="C567" s="125"/>
    </row>
    <row r="568" ht="15.75" customHeight="1">
      <c r="C568" s="125"/>
    </row>
    <row r="569" ht="15.75" customHeight="1">
      <c r="C569" s="125"/>
    </row>
    <row r="570" ht="15.75" customHeight="1">
      <c r="C570" s="125"/>
    </row>
    <row r="571" ht="15.75" customHeight="1">
      <c r="C571" s="125"/>
    </row>
    <row r="572" ht="15.75" customHeight="1">
      <c r="C572" s="125"/>
    </row>
    <row r="573" ht="15.75" customHeight="1">
      <c r="C573" s="125"/>
    </row>
    <row r="574" ht="15.75" customHeight="1">
      <c r="C574" s="125"/>
    </row>
    <row r="575" ht="15.75" customHeight="1">
      <c r="C575" s="125"/>
    </row>
    <row r="576" ht="15.75" customHeight="1">
      <c r="C576" s="125"/>
    </row>
    <row r="577" ht="15.75" customHeight="1">
      <c r="C577" s="125"/>
    </row>
    <row r="578" ht="15.75" customHeight="1">
      <c r="C578" s="125"/>
    </row>
    <row r="579" ht="15.75" customHeight="1">
      <c r="C579" s="125"/>
    </row>
    <row r="580" ht="15.75" customHeight="1">
      <c r="C580" s="125"/>
    </row>
    <row r="581" ht="15.75" customHeight="1">
      <c r="C581" s="125"/>
    </row>
    <row r="582" ht="15.75" customHeight="1">
      <c r="C582" s="125"/>
    </row>
    <row r="583" ht="15.75" customHeight="1">
      <c r="C583" s="125"/>
    </row>
    <row r="584" ht="15.75" customHeight="1">
      <c r="C584" s="125"/>
    </row>
    <row r="585" ht="15.75" customHeight="1">
      <c r="C585" s="125"/>
    </row>
    <row r="586" ht="15.75" customHeight="1">
      <c r="C586" s="125"/>
    </row>
    <row r="587" ht="15.75" customHeight="1">
      <c r="C587" s="125"/>
    </row>
    <row r="588" ht="15.75" customHeight="1">
      <c r="C588" s="125"/>
    </row>
    <row r="589" ht="15.75" customHeight="1">
      <c r="C589" s="125"/>
    </row>
    <row r="590" ht="15.75" customHeight="1">
      <c r="C590" s="125"/>
    </row>
    <row r="591" ht="15.75" customHeight="1">
      <c r="C591" s="125"/>
    </row>
    <row r="592" ht="15.75" customHeight="1">
      <c r="C592" s="125"/>
    </row>
    <row r="593" ht="15.75" customHeight="1">
      <c r="C593" s="125"/>
    </row>
    <row r="594" ht="15.75" customHeight="1">
      <c r="C594" s="125"/>
    </row>
    <row r="595" ht="15.75" customHeight="1">
      <c r="C595" s="125"/>
    </row>
    <row r="596" ht="15.75" customHeight="1">
      <c r="C596" s="125"/>
    </row>
    <row r="597" ht="15.75" customHeight="1">
      <c r="C597" s="125"/>
    </row>
    <row r="598" ht="15.75" customHeight="1">
      <c r="C598" s="125"/>
    </row>
    <row r="599" ht="15.75" customHeight="1">
      <c r="C599" s="125"/>
    </row>
    <row r="600" ht="15.75" customHeight="1">
      <c r="C600" s="125"/>
    </row>
    <row r="601" ht="15.75" customHeight="1">
      <c r="C601" s="125"/>
    </row>
    <row r="602" ht="15.75" customHeight="1">
      <c r="C602" s="125"/>
    </row>
    <row r="603" ht="15.75" customHeight="1">
      <c r="C603" s="125"/>
    </row>
    <row r="604" ht="15.75" customHeight="1">
      <c r="C604" s="125"/>
    </row>
    <row r="605" ht="15.75" customHeight="1">
      <c r="C605" s="125"/>
    </row>
    <row r="606" ht="15.75" customHeight="1">
      <c r="C606" s="125"/>
    </row>
    <row r="607" ht="15.75" customHeight="1">
      <c r="C607" s="125"/>
    </row>
    <row r="608" ht="15.75" customHeight="1">
      <c r="C608" s="125"/>
    </row>
    <row r="609" ht="15.75" customHeight="1">
      <c r="C609" s="125"/>
    </row>
    <row r="610" ht="15.75" customHeight="1">
      <c r="C610" s="125"/>
    </row>
    <row r="611" ht="15.75" customHeight="1">
      <c r="C611" s="125"/>
    </row>
    <row r="612" ht="15.75" customHeight="1">
      <c r="C612" s="125"/>
    </row>
    <row r="613" ht="15.75" customHeight="1">
      <c r="C613" s="125"/>
    </row>
    <row r="614" ht="15.75" customHeight="1">
      <c r="C614" s="125"/>
    </row>
    <row r="615" ht="15.75" customHeight="1">
      <c r="C615" s="125"/>
    </row>
    <row r="616" ht="15.75" customHeight="1">
      <c r="C616" s="125"/>
    </row>
    <row r="617" ht="15.75" customHeight="1">
      <c r="C617" s="125"/>
    </row>
    <row r="618" ht="15.75" customHeight="1">
      <c r="C618" s="125"/>
    </row>
    <row r="619" ht="15.75" customHeight="1">
      <c r="C619" s="125"/>
    </row>
    <row r="620" ht="15.75" customHeight="1">
      <c r="C620" s="125"/>
    </row>
    <row r="621" ht="15.75" customHeight="1">
      <c r="C621" s="125"/>
    </row>
    <row r="622" ht="15.75" customHeight="1">
      <c r="C622" s="125"/>
    </row>
    <row r="623" ht="15.75" customHeight="1">
      <c r="C623" s="125"/>
    </row>
    <row r="624" ht="15.75" customHeight="1">
      <c r="C624" s="125"/>
    </row>
    <row r="625" ht="15.75" customHeight="1">
      <c r="C625" s="125"/>
    </row>
    <row r="626" ht="15.75" customHeight="1">
      <c r="C626" s="125"/>
    </row>
    <row r="627" ht="15.75" customHeight="1">
      <c r="C627" s="125"/>
    </row>
    <row r="628" ht="15.75" customHeight="1">
      <c r="C628" s="125"/>
    </row>
    <row r="629" ht="15.75" customHeight="1">
      <c r="C629" s="125"/>
    </row>
    <row r="630" ht="15.75" customHeight="1">
      <c r="C630" s="125"/>
    </row>
    <row r="631" ht="15.75" customHeight="1">
      <c r="C631" s="125"/>
    </row>
    <row r="632" ht="15.75" customHeight="1">
      <c r="C632" s="125"/>
    </row>
    <row r="633" ht="15.75" customHeight="1">
      <c r="C633" s="125"/>
    </row>
    <row r="634" ht="15.75" customHeight="1">
      <c r="C634" s="125"/>
    </row>
    <row r="635" ht="15.75" customHeight="1">
      <c r="C635" s="125"/>
    </row>
    <row r="636" ht="15.75" customHeight="1">
      <c r="C636" s="125"/>
    </row>
    <row r="637" ht="15.75" customHeight="1">
      <c r="C637" s="125"/>
    </row>
    <row r="638" ht="15.75" customHeight="1">
      <c r="C638" s="125"/>
    </row>
    <row r="639" ht="15.75" customHeight="1">
      <c r="C639" s="125"/>
    </row>
    <row r="640" ht="15.75" customHeight="1">
      <c r="C640" s="125"/>
    </row>
    <row r="641" ht="15.75" customHeight="1">
      <c r="C641" s="125"/>
    </row>
    <row r="642" ht="15.75" customHeight="1">
      <c r="C642" s="125"/>
    </row>
    <row r="643" ht="15.75" customHeight="1">
      <c r="C643" s="125"/>
    </row>
    <row r="644" ht="15.75" customHeight="1">
      <c r="C644" s="125"/>
    </row>
    <row r="645" ht="15.75" customHeight="1">
      <c r="C645" s="125"/>
    </row>
    <row r="646" ht="15.75" customHeight="1">
      <c r="C646" s="125"/>
    </row>
    <row r="647" ht="15.75" customHeight="1">
      <c r="C647" s="125"/>
    </row>
    <row r="648" ht="15.75" customHeight="1">
      <c r="C648" s="125"/>
    </row>
    <row r="649" ht="15.75" customHeight="1">
      <c r="C649" s="125"/>
    </row>
    <row r="650" ht="15.75" customHeight="1">
      <c r="C650" s="125"/>
    </row>
    <row r="651" ht="15.75" customHeight="1">
      <c r="C651" s="125"/>
    </row>
    <row r="652" ht="15.75" customHeight="1">
      <c r="C652" s="125"/>
    </row>
    <row r="653" ht="15.75" customHeight="1">
      <c r="C653" s="125"/>
    </row>
    <row r="654" ht="15.75" customHeight="1">
      <c r="C654" s="125"/>
    </row>
    <row r="655" ht="15.75" customHeight="1">
      <c r="C655" s="125"/>
    </row>
    <row r="656" ht="15.75" customHeight="1">
      <c r="C656" s="125"/>
    </row>
    <row r="657" ht="15.75" customHeight="1">
      <c r="C657" s="125"/>
    </row>
    <row r="658" ht="15.75" customHeight="1">
      <c r="C658" s="125"/>
    </row>
    <row r="659" ht="15.75" customHeight="1">
      <c r="C659" s="125"/>
    </row>
    <row r="660" ht="15.75" customHeight="1">
      <c r="C660" s="125"/>
    </row>
    <row r="661" ht="15.75" customHeight="1">
      <c r="C661" s="125"/>
    </row>
    <row r="662" ht="15.75" customHeight="1">
      <c r="C662" s="125"/>
    </row>
    <row r="663" ht="15.75" customHeight="1">
      <c r="C663" s="125"/>
    </row>
    <row r="664" ht="15.75" customHeight="1">
      <c r="C664" s="125"/>
    </row>
    <row r="665" ht="15.75" customHeight="1">
      <c r="C665" s="125"/>
    </row>
    <row r="666" ht="15.75" customHeight="1">
      <c r="C666" s="125"/>
    </row>
    <row r="667" ht="15.75" customHeight="1">
      <c r="C667" s="125"/>
    </row>
    <row r="668" ht="15.75" customHeight="1">
      <c r="C668" s="125"/>
    </row>
    <row r="669" ht="15.75" customHeight="1">
      <c r="C669" s="125"/>
    </row>
    <row r="670" ht="15.75" customHeight="1">
      <c r="C670" s="125"/>
    </row>
    <row r="671" ht="15.75" customHeight="1">
      <c r="C671" s="125"/>
    </row>
    <row r="672" ht="15.75" customHeight="1">
      <c r="C672" s="125"/>
    </row>
    <row r="673" ht="15.75" customHeight="1">
      <c r="C673" s="125"/>
    </row>
    <row r="674" ht="15.75" customHeight="1">
      <c r="C674" s="125"/>
    </row>
    <row r="675" ht="15.75" customHeight="1">
      <c r="C675" s="125"/>
    </row>
    <row r="676" ht="15.75" customHeight="1">
      <c r="C676" s="125"/>
    </row>
    <row r="677" ht="15.75" customHeight="1">
      <c r="C677" s="125"/>
    </row>
    <row r="678" ht="15.75" customHeight="1">
      <c r="C678" s="125"/>
    </row>
    <row r="679" ht="15.75" customHeight="1">
      <c r="C679" s="125"/>
    </row>
    <row r="680" ht="15.75" customHeight="1">
      <c r="C680" s="125"/>
    </row>
    <row r="681" ht="15.75" customHeight="1">
      <c r="C681" s="125"/>
    </row>
    <row r="682" ht="15.75" customHeight="1">
      <c r="C682" s="125"/>
    </row>
    <row r="683" ht="15.75" customHeight="1">
      <c r="C683" s="125"/>
    </row>
    <row r="684" ht="15.75" customHeight="1">
      <c r="C684" s="125"/>
    </row>
    <row r="685" ht="15.75" customHeight="1">
      <c r="C685" s="125"/>
    </row>
    <row r="686" ht="15.75" customHeight="1">
      <c r="C686" s="125"/>
    </row>
    <row r="687" ht="15.75" customHeight="1">
      <c r="C687" s="125"/>
    </row>
    <row r="688" ht="15.75" customHeight="1">
      <c r="C688" s="125"/>
    </row>
    <row r="689" ht="15.75" customHeight="1">
      <c r="C689" s="125"/>
    </row>
    <row r="690" ht="15.75" customHeight="1">
      <c r="C690" s="125"/>
    </row>
    <row r="691" ht="15.75" customHeight="1">
      <c r="C691" s="125"/>
    </row>
    <row r="692" ht="15.75" customHeight="1">
      <c r="C692" s="125"/>
    </row>
    <row r="693" ht="15.75" customHeight="1">
      <c r="C693" s="125"/>
    </row>
    <row r="694" ht="15.75" customHeight="1">
      <c r="C694" s="125"/>
    </row>
    <row r="695" ht="15.75" customHeight="1">
      <c r="C695" s="125"/>
    </row>
    <row r="696" ht="15.75" customHeight="1">
      <c r="C696" s="125"/>
    </row>
    <row r="697" ht="15.75" customHeight="1">
      <c r="C697" s="125"/>
    </row>
    <row r="698" ht="15.75" customHeight="1">
      <c r="C698" s="125"/>
    </row>
    <row r="699" ht="15.75" customHeight="1">
      <c r="C699" s="125"/>
    </row>
    <row r="700" ht="15.75" customHeight="1">
      <c r="C700" s="125"/>
    </row>
    <row r="701" ht="15.75" customHeight="1">
      <c r="C701" s="125"/>
    </row>
    <row r="702" ht="15.75" customHeight="1">
      <c r="C702" s="125"/>
    </row>
    <row r="703" ht="15.75" customHeight="1">
      <c r="C703" s="125"/>
    </row>
    <row r="704" ht="15.75" customHeight="1">
      <c r="C704" s="125"/>
    </row>
    <row r="705" ht="15.75" customHeight="1">
      <c r="C705" s="125"/>
    </row>
    <row r="706" ht="15.75" customHeight="1">
      <c r="C706" s="125"/>
    </row>
    <row r="707" ht="15.75" customHeight="1">
      <c r="C707" s="125"/>
    </row>
    <row r="708" ht="15.75" customHeight="1">
      <c r="C708" s="125"/>
    </row>
    <row r="709" ht="15.75" customHeight="1">
      <c r="C709" s="125"/>
    </row>
    <row r="710" ht="15.75" customHeight="1">
      <c r="C710" s="125"/>
    </row>
    <row r="711" ht="15.75" customHeight="1">
      <c r="C711" s="125"/>
    </row>
    <row r="712" ht="15.75" customHeight="1">
      <c r="C712" s="125"/>
    </row>
    <row r="713" ht="15.75" customHeight="1">
      <c r="C713" s="125"/>
    </row>
    <row r="714" ht="15.75" customHeight="1">
      <c r="C714" s="125"/>
    </row>
    <row r="715" ht="15.75" customHeight="1">
      <c r="C715" s="125"/>
    </row>
    <row r="716" ht="15.75" customHeight="1">
      <c r="C716" s="125"/>
    </row>
    <row r="717" ht="15.75" customHeight="1">
      <c r="C717" s="125"/>
    </row>
    <row r="718" ht="15.75" customHeight="1">
      <c r="C718" s="125"/>
    </row>
    <row r="719" ht="15.75" customHeight="1">
      <c r="C719" s="125"/>
    </row>
    <row r="720" ht="15.75" customHeight="1">
      <c r="C720" s="125"/>
    </row>
    <row r="721" ht="15.75" customHeight="1">
      <c r="C721" s="125"/>
    </row>
    <row r="722" ht="15.75" customHeight="1">
      <c r="C722" s="125"/>
    </row>
    <row r="723" ht="15.75" customHeight="1">
      <c r="C723" s="125"/>
    </row>
    <row r="724" ht="15.75" customHeight="1">
      <c r="C724" s="125"/>
    </row>
    <row r="725" ht="15.75" customHeight="1">
      <c r="C725" s="125"/>
    </row>
    <row r="726" ht="15.75" customHeight="1">
      <c r="C726" s="125"/>
    </row>
    <row r="727" ht="15.75" customHeight="1">
      <c r="C727" s="125"/>
    </row>
    <row r="728" ht="15.75" customHeight="1">
      <c r="C728" s="125"/>
    </row>
    <row r="729" ht="15.75" customHeight="1">
      <c r="C729" s="125"/>
    </row>
    <row r="730" ht="15.75" customHeight="1">
      <c r="C730" s="125"/>
    </row>
    <row r="731" ht="15.75" customHeight="1">
      <c r="C731" s="125"/>
    </row>
    <row r="732" ht="15.75" customHeight="1">
      <c r="C732" s="125"/>
    </row>
    <row r="733" ht="15.75" customHeight="1">
      <c r="C733" s="125"/>
    </row>
    <row r="734" ht="15.75" customHeight="1">
      <c r="C734" s="125"/>
    </row>
    <row r="735" ht="15.75" customHeight="1">
      <c r="C735" s="125"/>
    </row>
    <row r="736" ht="15.75" customHeight="1">
      <c r="C736" s="125"/>
    </row>
    <row r="737" ht="15.75" customHeight="1">
      <c r="C737" s="125"/>
    </row>
    <row r="738" ht="15.75" customHeight="1">
      <c r="C738" s="125"/>
    </row>
    <row r="739" ht="15.75" customHeight="1">
      <c r="C739" s="125"/>
    </row>
    <row r="740" ht="15.75" customHeight="1">
      <c r="C740" s="125"/>
    </row>
    <row r="741" ht="15.75" customHeight="1">
      <c r="C741" s="125"/>
    </row>
    <row r="742" ht="15.75" customHeight="1">
      <c r="C742" s="125"/>
    </row>
    <row r="743" ht="15.75" customHeight="1">
      <c r="C743" s="125"/>
    </row>
    <row r="744" ht="15.75" customHeight="1">
      <c r="C744" s="125"/>
    </row>
    <row r="745" ht="15.75" customHeight="1">
      <c r="C745" s="125"/>
    </row>
    <row r="746" ht="15.75" customHeight="1">
      <c r="C746" s="125"/>
    </row>
    <row r="747" ht="15.75" customHeight="1">
      <c r="C747" s="125"/>
    </row>
    <row r="748" ht="15.75" customHeight="1">
      <c r="C748" s="125"/>
    </row>
    <row r="749" ht="15.75" customHeight="1">
      <c r="C749" s="125"/>
    </row>
    <row r="750" ht="15.75" customHeight="1">
      <c r="C750" s="125"/>
    </row>
    <row r="751" ht="15.75" customHeight="1">
      <c r="C751" s="125"/>
    </row>
    <row r="752" ht="15.75" customHeight="1">
      <c r="C752" s="125"/>
    </row>
    <row r="753" ht="15.75" customHeight="1">
      <c r="C753" s="125"/>
    </row>
    <row r="754" ht="15.75" customHeight="1">
      <c r="C754" s="125"/>
    </row>
    <row r="755" ht="15.75" customHeight="1">
      <c r="C755" s="125"/>
    </row>
    <row r="756" ht="15.75" customHeight="1">
      <c r="C756" s="125"/>
    </row>
    <row r="757" ht="15.75" customHeight="1">
      <c r="C757" s="125"/>
    </row>
    <row r="758" ht="15.75" customHeight="1">
      <c r="C758" s="125"/>
    </row>
    <row r="759" ht="15.75" customHeight="1">
      <c r="C759" s="125"/>
    </row>
    <row r="760" ht="15.75" customHeight="1">
      <c r="C760" s="125"/>
    </row>
    <row r="761" ht="15.75" customHeight="1">
      <c r="C761" s="125"/>
    </row>
    <row r="762" ht="15.75" customHeight="1">
      <c r="C762" s="125"/>
    </row>
    <row r="763" ht="15.75" customHeight="1">
      <c r="C763" s="125"/>
    </row>
    <row r="764" ht="15.75" customHeight="1">
      <c r="C764" s="125"/>
    </row>
    <row r="765" ht="15.75" customHeight="1">
      <c r="C765" s="125"/>
    </row>
    <row r="766" ht="15.75" customHeight="1">
      <c r="C766" s="125"/>
    </row>
    <row r="767" ht="15.75" customHeight="1">
      <c r="C767" s="125"/>
    </row>
    <row r="768" ht="15.75" customHeight="1">
      <c r="C768" s="125"/>
    </row>
    <row r="769" ht="15.75" customHeight="1">
      <c r="C769" s="125"/>
    </row>
    <row r="770" ht="15.75" customHeight="1">
      <c r="C770" s="125"/>
    </row>
    <row r="771" ht="15.75" customHeight="1">
      <c r="C771" s="125"/>
    </row>
    <row r="772" ht="15.75" customHeight="1">
      <c r="C772" s="125"/>
    </row>
    <row r="773" ht="15.75" customHeight="1">
      <c r="C773" s="125"/>
    </row>
    <row r="774" ht="15.75" customHeight="1">
      <c r="C774" s="125"/>
    </row>
    <row r="775" ht="15.75" customHeight="1">
      <c r="C775" s="125"/>
    </row>
    <row r="776" ht="15.75" customHeight="1">
      <c r="C776" s="125"/>
    </row>
    <row r="777" ht="15.75" customHeight="1">
      <c r="C777" s="125"/>
    </row>
    <row r="778" ht="15.75" customHeight="1">
      <c r="C778" s="125"/>
    </row>
    <row r="779" ht="15.75" customHeight="1">
      <c r="C779" s="125"/>
    </row>
    <row r="780" ht="15.75" customHeight="1">
      <c r="C780" s="125"/>
    </row>
    <row r="781" ht="15.75" customHeight="1">
      <c r="C781" s="125"/>
    </row>
    <row r="782" ht="15.75" customHeight="1">
      <c r="C782" s="125"/>
    </row>
    <row r="783" ht="15.75" customHeight="1">
      <c r="C783" s="125"/>
    </row>
    <row r="784" ht="15.75" customHeight="1">
      <c r="C784" s="125"/>
    </row>
    <row r="785" ht="15.75" customHeight="1">
      <c r="C785" s="125"/>
    </row>
    <row r="786" ht="15.75" customHeight="1">
      <c r="C786" s="125"/>
    </row>
    <row r="787" ht="15.75" customHeight="1">
      <c r="C787" s="125"/>
    </row>
    <row r="788" ht="15.75" customHeight="1">
      <c r="C788" s="125"/>
    </row>
    <row r="789" ht="15.75" customHeight="1">
      <c r="C789" s="125"/>
    </row>
    <row r="790" ht="15.75" customHeight="1">
      <c r="C790" s="125"/>
    </row>
    <row r="791" ht="15.75" customHeight="1">
      <c r="C791" s="125"/>
    </row>
    <row r="792" ht="15.75" customHeight="1">
      <c r="C792" s="125"/>
    </row>
    <row r="793" ht="15.75" customHeight="1">
      <c r="C793" s="125"/>
    </row>
    <row r="794" ht="15.75" customHeight="1">
      <c r="C794" s="125"/>
    </row>
    <row r="795" ht="15.75" customHeight="1">
      <c r="C795" s="125"/>
    </row>
    <row r="796" ht="15.75" customHeight="1">
      <c r="C796" s="125"/>
    </row>
    <row r="797" ht="15.75" customHeight="1">
      <c r="C797" s="125"/>
    </row>
    <row r="798" ht="15.75" customHeight="1">
      <c r="C798" s="125"/>
    </row>
    <row r="799" ht="15.75" customHeight="1">
      <c r="C799" s="125"/>
    </row>
    <row r="800" ht="15.75" customHeight="1">
      <c r="C800" s="125"/>
    </row>
    <row r="801" ht="15.75" customHeight="1">
      <c r="C801" s="125"/>
    </row>
    <row r="802" ht="15.75" customHeight="1">
      <c r="C802" s="125"/>
    </row>
    <row r="803" ht="15.75" customHeight="1">
      <c r="C803" s="125"/>
    </row>
    <row r="804" ht="15.75" customHeight="1">
      <c r="C804" s="125"/>
    </row>
    <row r="805" ht="15.75" customHeight="1">
      <c r="C805" s="125"/>
    </row>
    <row r="806" ht="15.75" customHeight="1">
      <c r="C806" s="125"/>
    </row>
    <row r="807" ht="15.75" customHeight="1">
      <c r="C807" s="125"/>
    </row>
    <row r="808" ht="15.75" customHeight="1">
      <c r="C808" s="125"/>
    </row>
    <row r="809" ht="15.75" customHeight="1">
      <c r="C809" s="125"/>
    </row>
    <row r="810" ht="15.75" customHeight="1">
      <c r="C810" s="125"/>
    </row>
    <row r="811" ht="15.75" customHeight="1">
      <c r="C811" s="125"/>
    </row>
    <row r="812" ht="15.75" customHeight="1">
      <c r="C812" s="125"/>
    </row>
    <row r="813" ht="15.75" customHeight="1">
      <c r="C813" s="125"/>
    </row>
    <row r="814" ht="15.75" customHeight="1">
      <c r="C814" s="125"/>
    </row>
    <row r="815" ht="15.75" customHeight="1">
      <c r="C815" s="125"/>
    </row>
    <row r="816" ht="15.75" customHeight="1">
      <c r="C816" s="125"/>
    </row>
    <row r="817" ht="15.75" customHeight="1">
      <c r="C817" s="125"/>
    </row>
    <row r="818" ht="15.75" customHeight="1">
      <c r="C818" s="125"/>
    </row>
    <row r="819" ht="15.75" customHeight="1">
      <c r="C819" s="125"/>
    </row>
    <row r="820" ht="15.75" customHeight="1">
      <c r="C820" s="125"/>
    </row>
    <row r="821" ht="15.75" customHeight="1">
      <c r="C821" s="125"/>
    </row>
    <row r="822" ht="15.75" customHeight="1">
      <c r="C822" s="125"/>
    </row>
    <row r="823" ht="15.75" customHeight="1">
      <c r="C823" s="125"/>
    </row>
    <row r="824" ht="15.75" customHeight="1">
      <c r="C824" s="125"/>
    </row>
    <row r="825" ht="15.75" customHeight="1">
      <c r="C825" s="125"/>
    </row>
    <row r="826" ht="15.75" customHeight="1">
      <c r="C826" s="125"/>
    </row>
    <row r="827" ht="15.75" customHeight="1">
      <c r="C827" s="125"/>
    </row>
    <row r="828" ht="15.75" customHeight="1">
      <c r="C828" s="125"/>
    </row>
    <row r="829" ht="15.75" customHeight="1">
      <c r="C829" s="125"/>
    </row>
    <row r="830" ht="15.75" customHeight="1">
      <c r="C830" s="125"/>
    </row>
    <row r="831" ht="15.75" customHeight="1">
      <c r="C831" s="125"/>
    </row>
    <row r="832" ht="15.75" customHeight="1">
      <c r="C832" s="125"/>
    </row>
    <row r="833" ht="15.75" customHeight="1">
      <c r="C833" s="125"/>
    </row>
    <row r="834" ht="15.75" customHeight="1">
      <c r="C834" s="125"/>
    </row>
    <row r="835" ht="15.75" customHeight="1">
      <c r="C835" s="125"/>
    </row>
    <row r="836" ht="15.75" customHeight="1">
      <c r="C836" s="125"/>
    </row>
    <row r="837" ht="15.75" customHeight="1">
      <c r="C837" s="125"/>
    </row>
    <row r="838" ht="15.75" customHeight="1">
      <c r="C838" s="125"/>
    </row>
    <row r="839" ht="15.75" customHeight="1">
      <c r="C839" s="125"/>
    </row>
    <row r="840" ht="15.75" customHeight="1">
      <c r="C840" s="125"/>
    </row>
    <row r="841" ht="15.75" customHeight="1">
      <c r="C841" s="125"/>
    </row>
    <row r="842" ht="15.75" customHeight="1">
      <c r="C842" s="125"/>
    </row>
    <row r="843" ht="15.75" customHeight="1">
      <c r="C843" s="125"/>
    </row>
    <row r="844" ht="15.75" customHeight="1">
      <c r="C844" s="125"/>
    </row>
    <row r="845" ht="15.75" customHeight="1">
      <c r="C845" s="125"/>
    </row>
    <row r="846" ht="15.75" customHeight="1">
      <c r="C846" s="125"/>
    </row>
    <row r="847" ht="15.75" customHeight="1">
      <c r="C847" s="125"/>
    </row>
    <row r="848" ht="15.75" customHeight="1">
      <c r="C848" s="125"/>
    </row>
    <row r="849" ht="15.75" customHeight="1">
      <c r="C849" s="125"/>
    </row>
    <row r="850" ht="15.75" customHeight="1">
      <c r="C850" s="125"/>
    </row>
    <row r="851" ht="15.75" customHeight="1">
      <c r="C851" s="125"/>
    </row>
    <row r="852" ht="15.75" customHeight="1">
      <c r="C852" s="125"/>
    </row>
    <row r="853" ht="15.75" customHeight="1">
      <c r="C853" s="125"/>
    </row>
    <row r="854" ht="15.75" customHeight="1">
      <c r="C854" s="125"/>
    </row>
    <row r="855" ht="15.75" customHeight="1">
      <c r="C855" s="125"/>
    </row>
    <row r="856" ht="15.75" customHeight="1">
      <c r="C856" s="125"/>
    </row>
    <row r="857" ht="15.75" customHeight="1">
      <c r="C857" s="125"/>
    </row>
    <row r="858" ht="15.75" customHeight="1">
      <c r="C858" s="125"/>
    </row>
    <row r="859" ht="15.75" customHeight="1">
      <c r="C859" s="125"/>
    </row>
    <row r="860" ht="15.75" customHeight="1">
      <c r="C860" s="125"/>
    </row>
    <row r="861" ht="15.75" customHeight="1">
      <c r="C861" s="125"/>
    </row>
    <row r="862" ht="15.75" customHeight="1">
      <c r="C862" s="125"/>
    </row>
    <row r="863" ht="15.75" customHeight="1">
      <c r="C863" s="125"/>
    </row>
    <row r="864" ht="15.75" customHeight="1">
      <c r="C864" s="125"/>
    </row>
    <row r="865" ht="15.75" customHeight="1">
      <c r="C865" s="125"/>
    </row>
    <row r="866" ht="15.75" customHeight="1">
      <c r="C866" s="125"/>
    </row>
    <row r="867" ht="15.75" customHeight="1">
      <c r="C867" s="125"/>
    </row>
    <row r="868" ht="15.75" customHeight="1">
      <c r="C868" s="125"/>
    </row>
    <row r="869" ht="15.75" customHeight="1">
      <c r="C869" s="125"/>
    </row>
    <row r="870" ht="15.75" customHeight="1">
      <c r="C870" s="125"/>
    </row>
    <row r="871" ht="15.75" customHeight="1">
      <c r="C871" s="125"/>
    </row>
    <row r="872" ht="15.75" customHeight="1">
      <c r="C872" s="125"/>
    </row>
    <row r="873" ht="15.75" customHeight="1">
      <c r="C873" s="125"/>
    </row>
    <row r="874" ht="15.75" customHeight="1">
      <c r="C874" s="125"/>
    </row>
    <row r="875" ht="15.75" customHeight="1">
      <c r="C875" s="125"/>
    </row>
    <row r="876" ht="15.75" customHeight="1">
      <c r="C876" s="125"/>
    </row>
    <row r="877" ht="15.75" customHeight="1">
      <c r="C877" s="125"/>
    </row>
    <row r="878" ht="15.75" customHeight="1">
      <c r="C878" s="125"/>
    </row>
    <row r="879" ht="15.75" customHeight="1">
      <c r="C879" s="125"/>
    </row>
    <row r="880" ht="15.75" customHeight="1">
      <c r="C880" s="125"/>
    </row>
    <row r="881" ht="15.75" customHeight="1">
      <c r="C881" s="125"/>
    </row>
    <row r="882" ht="15.75" customHeight="1">
      <c r="C882" s="125"/>
    </row>
    <row r="883" ht="15.75" customHeight="1">
      <c r="C883" s="125"/>
    </row>
    <row r="884" ht="15.75" customHeight="1">
      <c r="C884" s="125"/>
    </row>
    <row r="885" ht="15.75" customHeight="1">
      <c r="C885" s="125"/>
    </row>
    <row r="886" ht="15.75" customHeight="1">
      <c r="C886" s="125"/>
    </row>
    <row r="887" ht="15.75" customHeight="1">
      <c r="C887" s="125"/>
    </row>
    <row r="888" ht="15.75" customHeight="1">
      <c r="C888" s="125"/>
    </row>
    <row r="889" ht="15.75" customHeight="1">
      <c r="C889" s="125"/>
    </row>
    <row r="890" ht="15.75" customHeight="1">
      <c r="C890" s="125"/>
    </row>
    <row r="891" ht="15.75" customHeight="1">
      <c r="C891" s="125"/>
    </row>
    <row r="892" ht="15.75" customHeight="1">
      <c r="C892" s="125"/>
    </row>
    <row r="893" ht="15.75" customHeight="1">
      <c r="C893" s="125"/>
    </row>
    <row r="894" ht="15.75" customHeight="1">
      <c r="C894" s="125"/>
    </row>
    <row r="895" ht="15.75" customHeight="1">
      <c r="C895" s="125"/>
    </row>
    <row r="896" ht="15.75" customHeight="1">
      <c r="C896" s="125"/>
    </row>
    <row r="897" ht="15.75" customHeight="1">
      <c r="C897" s="125"/>
    </row>
    <row r="898" ht="15.75" customHeight="1">
      <c r="C898" s="125"/>
    </row>
    <row r="899" ht="15.75" customHeight="1">
      <c r="C899" s="125"/>
    </row>
    <row r="900" ht="15.75" customHeight="1">
      <c r="C900" s="125"/>
    </row>
    <row r="901" ht="15.75" customHeight="1">
      <c r="C901" s="125"/>
    </row>
    <row r="902" ht="15.75" customHeight="1">
      <c r="C902" s="125"/>
    </row>
    <row r="903" ht="15.75" customHeight="1">
      <c r="C903" s="125"/>
    </row>
    <row r="904" ht="15.75" customHeight="1">
      <c r="C904" s="125"/>
    </row>
    <row r="905" ht="15.75" customHeight="1">
      <c r="C905" s="125"/>
    </row>
    <row r="906" ht="15.75" customHeight="1">
      <c r="C906" s="125"/>
    </row>
    <row r="907" ht="15.75" customHeight="1">
      <c r="C907" s="125"/>
    </row>
    <row r="908" ht="15.75" customHeight="1">
      <c r="C908" s="125"/>
    </row>
    <row r="909" ht="15.75" customHeight="1">
      <c r="C909" s="125"/>
    </row>
    <row r="910" ht="15.75" customHeight="1">
      <c r="C910" s="125"/>
    </row>
    <row r="911" ht="15.75" customHeight="1">
      <c r="C911" s="125"/>
    </row>
    <row r="912" ht="15.75" customHeight="1">
      <c r="C912" s="125"/>
    </row>
    <row r="913" ht="15.75" customHeight="1">
      <c r="C913" s="125"/>
    </row>
    <row r="914" ht="15.75" customHeight="1">
      <c r="C914" s="125"/>
    </row>
    <row r="915" ht="15.75" customHeight="1">
      <c r="C915" s="125"/>
    </row>
    <row r="916" ht="15.75" customHeight="1">
      <c r="C916" s="125"/>
    </row>
    <row r="917" ht="15.75" customHeight="1">
      <c r="C917" s="125"/>
    </row>
    <row r="918" ht="15.75" customHeight="1">
      <c r="C918" s="125"/>
    </row>
    <row r="919" ht="15.75" customHeight="1">
      <c r="C919" s="125"/>
    </row>
    <row r="920" ht="15.75" customHeight="1">
      <c r="C920" s="125"/>
    </row>
    <row r="921" ht="15.75" customHeight="1">
      <c r="C921" s="125"/>
    </row>
    <row r="922" ht="15.75" customHeight="1">
      <c r="C922" s="125"/>
    </row>
    <row r="923" ht="15.75" customHeight="1">
      <c r="C923" s="125"/>
    </row>
    <row r="924" ht="15.75" customHeight="1">
      <c r="C924" s="125"/>
    </row>
    <row r="925" ht="15.75" customHeight="1">
      <c r="C925" s="125"/>
    </row>
    <row r="926" ht="15.75" customHeight="1">
      <c r="C926" s="125"/>
    </row>
    <row r="927" ht="15.75" customHeight="1">
      <c r="C927" s="125"/>
    </row>
    <row r="928" ht="15.75" customHeight="1">
      <c r="C928" s="125"/>
    </row>
    <row r="929" ht="15.75" customHeight="1">
      <c r="C929" s="125"/>
    </row>
    <row r="930" ht="15.75" customHeight="1">
      <c r="C930" s="125"/>
    </row>
    <row r="931" ht="15.75" customHeight="1">
      <c r="C931" s="125"/>
    </row>
    <row r="932" ht="15.75" customHeight="1">
      <c r="C932" s="125"/>
    </row>
    <row r="933" ht="15.75" customHeight="1">
      <c r="C933" s="125"/>
    </row>
    <row r="934" ht="15.75" customHeight="1">
      <c r="C934" s="125"/>
    </row>
    <row r="935" ht="15.75" customHeight="1">
      <c r="C935" s="125"/>
    </row>
    <row r="936" ht="15.75" customHeight="1">
      <c r="C936" s="125"/>
    </row>
    <row r="937" ht="15.75" customHeight="1">
      <c r="C937" s="125"/>
    </row>
    <row r="938" ht="15.75" customHeight="1">
      <c r="C938" s="125"/>
    </row>
    <row r="939" ht="15.75" customHeight="1">
      <c r="C939" s="125"/>
    </row>
    <row r="940" ht="15.75" customHeight="1">
      <c r="C940" s="125"/>
    </row>
    <row r="941" ht="15.75" customHeight="1">
      <c r="C941" s="125"/>
    </row>
    <row r="942" ht="15.75" customHeight="1">
      <c r="C942" s="125"/>
    </row>
    <row r="943" ht="15.75" customHeight="1">
      <c r="C943" s="125"/>
    </row>
    <row r="944" ht="15.75" customHeight="1">
      <c r="C944" s="125"/>
    </row>
    <row r="945" ht="15.75" customHeight="1">
      <c r="C945" s="125"/>
    </row>
    <row r="946" ht="15.75" customHeight="1">
      <c r="C946" s="125"/>
    </row>
    <row r="947" ht="15.75" customHeight="1">
      <c r="C947" s="125"/>
    </row>
    <row r="948" ht="15.75" customHeight="1">
      <c r="C948" s="125"/>
    </row>
    <row r="949" ht="15.75" customHeight="1">
      <c r="C949" s="125"/>
    </row>
    <row r="950" ht="15.75" customHeight="1">
      <c r="C950" s="125"/>
    </row>
    <row r="951" ht="15.75" customHeight="1">
      <c r="C951" s="125"/>
    </row>
    <row r="952" ht="15.75" customHeight="1">
      <c r="C952" s="125"/>
    </row>
    <row r="953" ht="15.75" customHeight="1">
      <c r="C953" s="125"/>
    </row>
    <row r="954" ht="15.75" customHeight="1">
      <c r="C954" s="125"/>
    </row>
    <row r="955" ht="15.75" customHeight="1">
      <c r="C955" s="125"/>
    </row>
    <row r="956" ht="15.75" customHeight="1">
      <c r="C956" s="125"/>
    </row>
    <row r="957" ht="15.75" customHeight="1">
      <c r="C957" s="125"/>
    </row>
    <row r="958" ht="15.75" customHeight="1">
      <c r="C958" s="125"/>
    </row>
    <row r="959" ht="15.75" customHeight="1">
      <c r="C959" s="125"/>
    </row>
    <row r="960" ht="15.75" customHeight="1">
      <c r="C960" s="125"/>
    </row>
    <row r="961" ht="15.75" customHeight="1">
      <c r="C961" s="125"/>
    </row>
    <row r="962" ht="15.75" customHeight="1">
      <c r="C962" s="125"/>
    </row>
    <row r="963" ht="15.75" customHeight="1">
      <c r="C963" s="125"/>
    </row>
    <row r="964" ht="15.75" customHeight="1">
      <c r="C964" s="125"/>
    </row>
    <row r="965" ht="15.75" customHeight="1">
      <c r="C965" s="125"/>
    </row>
    <row r="966" ht="15.75" customHeight="1">
      <c r="C966" s="125"/>
    </row>
    <row r="967" ht="15.75" customHeight="1">
      <c r="C967" s="125"/>
    </row>
    <row r="968" ht="15.75" customHeight="1">
      <c r="C968" s="125"/>
    </row>
    <row r="969" ht="15.75" customHeight="1">
      <c r="C969" s="125"/>
    </row>
    <row r="970" ht="15.75" customHeight="1">
      <c r="C970" s="125"/>
    </row>
    <row r="971" ht="15.75" customHeight="1">
      <c r="C971" s="125"/>
    </row>
    <row r="972" ht="15.75" customHeight="1">
      <c r="C972" s="125"/>
    </row>
    <row r="973" ht="15.75" customHeight="1">
      <c r="C973" s="125"/>
    </row>
    <row r="974" ht="15.75" customHeight="1">
      <c r="C974" s="125"/>
    </row>
    <row r="975" ht="15.75" customHeight="1">
      <c r="C975" s="125"/>
    </row>
    <row r="976" ht="15.75" customHeight="1">
      <c r="C976" s="125"/>
    </row>
    <row r="977" ht="15.75" customHeight="1">
      <c r="C977" s="125"/>
    </row>
    <row r="978" ht="15.75" customHeight="1">
      <c r="C978" s="125"/>
    </row>
    <row r="979" ht="15.75" customHeight="1">
      <c r="C979" s="125"/>
    </row>
    <row r="980" ht="15.75" customHeight="1">
      <c r="C980" s="125"/>
    </row>
    <row r="981" ht="15.75" customHeight="1">
      <c r="C981" s="125"/>
    </row>
    <row r="982" ht="15.75" customHeight="1">
      <c r="C982" s="125"/>
    </row>
    <row r="983" ht="15.75" customHeight="1">
      <c r="C983" s="125"/>
    </row>
    <row r="984" ht="15.75" customHeight="1">
      <c r="C984" s="125"/>
    </row>
    <row r="985" ht="15.75" customHeight="1">
      <c r="C985" s="125"/>
    </row>
    <row r="986" ht="15.75" customHeight="1">
      <c r="C986" s="125"/>
    </row>
    <row r="987" ht="15.75" customHeight="1">
      <c r="C987" s="125"/>
    </row>
    <row r="988" ht="15.75" customHeight="1">
      <c r="C988" s="125"/>
    </row>
    <row r="989" ht="15.75" customHeight="1">
      <c r="C989" s="125"/>
    </row>
    <row r="990" ht="15.75" customHeight="1">
      <c r="C990" s="125"/>
    </row>
    <row r="991" ht="15.75" customHeight="1">
      <c r="C991" s="125"/>
    </row>
    <row r="992" ht="15.75" customHeight="1">
      <c r="C992" s="125"/>
    </row>
    <row r="993" ht="15.75" customHeight="1">
      <c r="C993" s="125"/>
    </row>
    <row r="994" ht="15.75" customHeight="1">
      <c r="C994" s="125"/>
    </row>
    <row r="995" ht="15.75" customHeight="1">
      <c r="C995" s="125"/>
    </row>
    <row r="996" ht="15.75" customHeight="1">
      <c r="C996" s="125"/>
    </row>
    <row r="997" ht="15.75" customHeight="1">
      <c r="C997" s="125"/>
    </row>
    <row r="998" ht="15.75" customHeight="1">
      <c r="C998" s="125"/>
    </row>
    <row r="999" ht="15.75" customHeight="1">
      <c r="C999" s="125"/>
    </row>
    <row r="1000" ht="15.75" customHeight="1">
      <c r="C1000" s="12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2020-07-26T17:04:07Z</dcterms:created>
  <dc:creator>Abhinav Bansal</dc:creator>
</cp:coreProperties>
</file>